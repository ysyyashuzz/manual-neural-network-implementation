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<sst xmlns="http://schemas.openxmlformats.org/spreadsheetml/2006/main" count="94" uniqueCount="94">
  <si>
    <t>Training set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</si>
  <si>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</si>
  <si>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</si>
  <si>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</si>
  <si>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</si>
  <si>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</si>
  <si>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</si>
  <si>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</si>
  <si>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</si>
  <si>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</si>
  <si>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</si>
  <si>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</si>
  <si>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</si>
  <si>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</si>
  <si>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</si>
  <si>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</si>
  <si>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</si>
  <si>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</si>
  <si>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</si>
  <si>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</si>
  <si>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</si>
  <si>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</si>
  <si>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</si>
  <si>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</si>
  <si>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</si>
  <si>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</si>
  <si>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</si>
  <si>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</si>
  <si>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</si>
  <si>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</si>
  <si>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</si>
  <si>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</si>
  <si>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</si>
  <si>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</si>
  <si>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</si>
  <si>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</si>
  <si>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</si>
  <si>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</si>
  <si>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</si>
  <si>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</si>
  <si>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</si>
  <si>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</si>
  <si>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</si>
  <si>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</si>
  <si>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</si>
  <si>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</si>
  <si>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</si>
  <si>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</si>
  <si>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</si>
  <si>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</si>
  <si>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</si>
  <si>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X0</t>
  </si>
  <si>
    <t>X1</t>
  </si>
  <si>
    <t>X2</t>
  </si>
  <si>
    <t>X3</t>
  </si>
  <si>
    <t>X4</t>
  </si>
  <si>
    <t>Target varaible</t>
  </si>
  <si>
    <t>Learning rate</t>
  </si>
  <si>
    <t>Net_A</t>
  </si>
  <si>
    <t>X_A</t>
  </si>
  <si>
    <t>Net_B</t>
  </si>
  <si>
    <t>X_B</t>
  </si>
  <si>
    <t>Net_C</t>
  </si>
  <si>
    <t>X_C</t>
  </si>
  <si>
    <t>Net_D</t>
  </si>
  <si>
    <t>X_D</t>
  </si>
  <si>
    <t>Net_Z</t>
  </si>
  <si>
    <t>X_Z</t>
  </si>
  <si>
    <t>delta_A</t>
  </si>
  <si>
    <t>delta_B</t>
  </si>
  <si>
    <t>delta_C</t>
  </si>
  <si>
    <t>delta_D</t>
  </si>
  <si>
    <t>delta_Z</t>
  </si>
  <si>
    <t>Weights</t>
  </si>
  <si>
    <t>Initial values</t>
  </si>
  <si>
    <t>W_1A</t>
  </si>
  <si>
    <t>W_1B</t>
  </si>
  <si>
    <t>W_2A</t>
  </si>
  <si>
    <t>W_2B</t>
  </si>
  <si>
    <t>W_3A</t>
  </si>
  <si>
    <t>W_3B</t>
  </si>
  <si>
    <t>W_4A</t>
  </si>
  <si>
    <t>W_4B</t>
  </si>
  <si>
    <t>W_0A</t>
  </si>
  <si>
    <t>W_AC</t>
  </si>
  <si>
    <t>W_AD</t>
  </si>
  <si>
    <t>W_0B</t>
  </si>
  <si>
    <t>W_BC</t>
  </si>
  <si>
    <t>W_BD</t>
  </si>
  <si>
    <t>W_0C</t>
  </si>
  <si>
    <t>W_CZ</t>
  </si>
  <si>
    <t>W_0D</t>
  </si>
  <si>
    <t>W_DZ</t>
  </si>
  <si>
    <t>W_0Z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</si>
</sst>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6" fontId="5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</row>
    <row r="2">
      <c r="A2" s="1"/>
      <c r="B2" s="3" t="s">
        <v>51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4">
        <v>1.0</v>
      </c>
      <c r="J2" s="4">
        <v>1.0</v>
      </c>
      <c r="K2" s="4">
        <v>1.0</v>
      </c>
      <c r="L2" s="4">
        <v>1.0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  <c r="R2" s="4">
        <v>1.0</v>
      </c>
      <c r="S2" s="4">
        <v>1.0</v>
      </c>
      <c r="T2" s="4">
        <v>1.0</v>
      </c>
      <c r="U2" s="4">
        <v>1.0</v>
      </c>
      <c r="V2" s="4">
        <v>1.0</v>
      </c>
      <c r="W2" s="4">
        <v>1.0</v>
      </c>
      <c r="X2" s="4">
        <v>1.0</v>
      </c>
      <c r="Y2" s="4">
        <v>1.0</v>
      </c>
      <c r="Z2" s="4">
        <v>1.0</v>
      </c>
      <c r="AA2" s="4">
        <v>1.0</v>
      </c>
      <c r="AB2" s="4">
        <v>1.0</v>
      </c>
      <c r="AC2" s="4">
        <v>1.0</v>
      </c>
      <c r="AD2" s="4">
        <v>1.0</v>
      </c>
      <c r="AE2" s="4">
        <v>1.0</v>
      </c>
      <c r="AF2" s="4">
        <v>1.0</v>
      </c>
      <c r="AG2" s="4">
        <v>1.0</v>
      </c>
      <c r="AH2" s="4">
        <v>1.0</v>
      </c>
      <c r="AI2" s="4">
        <v>1.0</v>
      </c>
      <c r="AJ2" s="4">
        <v>1.0</v>
      </c>
      <c r="AK2" s="4">
        <v>1.0</v>
      </c>
      <c r="AL2" s="4">
        <v>1.0</v>
      </c>
      <c r="AM2" s="4">
        <v>1.0</v>
      </c>
      <c r="AN2" s="4">
        <v>1.0</v>
      </c>
      <c r="AO2" s="4">
        <v>1.0</v>
      </c>
      <c r="AP2" s="4">
        <v>1.0</v>
      </c>
      <c r="AQ2" s="4">
        <v>1.0</v>
      </c>
      <c r="AR2" s="4">
        <v>1.0</v>
      </c>
      <c r="AS2" s="4">
        <v>1.0</v>
      </c>
      <c r="AT2" s="4">
        <v>1.0</v>
      </c>
      <c r="AU2" s="4">
        <v>1.0</v>
      </c>
      <c r="AV2" s="4">
        <v>1.0</v>
      </c>
      <c r="AW2" s="4">
        <v>1.0</v>
      </c>
      <c r="AX2" s="4">
        <v>1.0</v>
      </c>
      <c r="AY2" s="4">
        <v>1.0</v>
      </c>
      <c r="AZ2" s="4">
        <v>1.0</v>
      </c>
    </row>
    <row r="3">
      <c r="A3" s="1"/>
      <c r="B3" s="3" t="s">
        <v>52</v>
      </c>
      <c r="C3" s="4">
        <v>0.06</v>
      </c>
      <c r="D3" s="4">
        <v>0.72</v>
      </c>
      <c r="E3" s="4">
        <v>0.59</v>
      </c>
      <c r="F3" s="4">
        <v>0.97</v>
      </c>
      <c r="G3" s="4">
        <v>0.46</v>
      </c>
      <c r="H3" s="4">
        <v>0.14</v>
      </c>
      <c r="I3" s="4">
        <v>0.65</v>
      </c>
      <c r="J3" s="4">
        <v>0.29</v>
      </c>
      <c r="K3" s="4">
        <v>0.84</v>
      </c>
      <c r="L3" s="4">
        <v>0.19</v>
      </c>
      <c r="M3" s="4">
        <v>0.89</v>
      </c>
      <c r="N3" s="4">
        <v>0.91</v>
      </c>
      <c r="O3" s="4">
        <v>0.98</v>
      </c>
      <c r="P3" s="4">
        <v>0.86</v>
      </c>
      <c r="Q3" s="4">
        <v>0.49</v>
      </c>
      <c r="R3" s="4">
        <v>0.07</v>
      </c>
      <c r="S3" s="4">
        <v>0.8</v>
      </c>
      <c r="T3" s="4">
        <v>0.59</v>
      </c>
      <c r="U3" s="4">
        <v>0.23</v>
      </c>
      <c r="V3" s="4">
        <v>0.61</v>
      </c>
      <c r="W3" s="4">
        <v>0.3</v>
      </c>
      <c r="X3" s="4">
        <v>0.84</v>
      </c>
      <c r="Y3" s="4">
        <v>0.04</v>
      </c>
      <c r="Z3" s="4">
        <v>0.88</v>
      </c>
      <c r="AA3" s="4">
        <v>0.17</v>
      </c>
      <c r="AB3" s="4">
        <v>0.01</v>
      </c>
      <c r="AC3" s="4">
        <v>0.66</v>
      </c>
      <c r="AD3" s="4">
        <v>0.57</v>
      </c>
      <c r="AE3" s="4">
        <v>0.55</v>
      </c>
      <c r="AF3" s="4">
        <v>0.05</v>
      </c>
      <c r="AG3" s="4">
        <v>0.07</v>
      </c>
      <c r="AH3" s="4">
        <v>0.51</v>
      </c>
      <c r="AI3" s="4">
        <v>0.23</v>
      </c>
      <c r="AJ3" s="4">
        <v>0.62</v>
      </c>
      <c r="AK3" s="4">
        <v>0.2</v>
      </c>
      <c r="AL3" s="4">
        <v>0.44</v>
      </c>
      <c r="AM3" s="4">
        <v>0.09</v>
      </c>
      <c r="AN3" s="4">
        <v>0.05</v>
      </c>
      <c r="AO3" s="4">
        <v>0.02</v>
      </c>
      <c r="AP3" s="4">
        <v>0.2</v>
      </c>
      <c r="AQ3" s="4">
        <v>0.87</v>
      </c>
      <c r="AR3" s="4">
        <v>0.86</v>
      </c>
      <c r="AS3" s="4">
        <v>0.22</v>
      </c>
      <c r="AT3" s="4">
        <v>0.69</v>
      </c>
      <c r="AU3" s="4">
        <v>0.33</v>
      </c>
      <c r="AV3" s="4">
        <v>0.3</v>
      </c>
      <c r="AW3" s="4">
        <v>0.14</v>
      </c>
      <c r="AX3" s="4">
        <v>0.57</v>
      </c>
      <c r="AY3" s="4">
        <v>0.06</v>
      </c>
      <c r="AZ3" s="4">
        <v>0.95</v>
      </c>
    </row>
    <row r="4">
      <c r="A4" s="1"/>
      <c r="B4" s="3" t="s">
        <v>53</v>
      </c>
      <c r="C4" s="4">
        <v>0.3</v>
      </c>
      <c r="D4" s="4">
        <v>0.63</v>
      </c>
      <c r="E4" s="4">
        <v>0.08</v>
      </c>
      <c r="F4" s="4">
        <v>0.18</v>
      </c>
      <c r="G4" s="4">
        <v>0.08</v>
      </c>
      <c r="H4" s="4">
        <v>0.82</v>
      </c>
      <c r="I4" s="4">
        <v>0.53</v>
      </c>
      <c r="J4" s="4">
        <v>0.02</v>
      </c>
      <c r="K4" s="4">
        <v>0.22</v>
      </c>
      <c r="L4" s="4">
        <v>0.09</v>
      </c>
      <c r="M4" s="4">
        <v>0.83</v>
      </c>
      <c r="N4" s="4">
        <v>0.4</v>
      </c>
      <c r="O4" s="4">
        <v>0.02</v>
      </c>
      <c r="P4" s="4">
        <v>0.36</v>
      </c>
      <c r="Q4" s="4">
        <v>0.17</v>
      </c>
      <c r="R4" s="4">
        <v>0.95</v>
      </c>
      <c r="S4" s="4">
        <v>0.16</v>
      </c>
      <c r="T4" s="4">
        <v>0.84</v>
      </c>
      <c r="U4" s="4">
        <v>0.43</v>
      </c>
      <c r="V4" s="4">
        <v>0.68</v>
      </c>
      <c r="W4" s="4">
        <v>0.86</v>
      </c>
      <c r="X4" s="4">
        <v>0.51</v>
      </c>
      <c r="Y4" s="4">
        <v>0.61</v>
      </c>
      <c r="Z4" s="4">
        <v>0.68</v>
      </c>
      <c r="AA4" s="4">
        <v>0.36</v>
      </c>
      <c r="AB4" s="4">
        <v>0.24</v>
      </c>
      <c r="AC4" s="4">
        <v>0.37</v>
      </c>
      <c r="AD4" s="4">
        <v>0.95</v>
      </c>
      <c r="AE4" s="4">
        <v>0.39</v>
      </c>
      <c r="AF4" s="4">
        <v>0.16</v>
      </c>
      <c r="AG4" s="4">
        <v>1.0</v>
      </c>
      <c r="AH4" s="4">
        <v>0.73</v>
      </c>
      <c r="AI4" s="4">
        <v>0.6</v>
      </c>
      <c r="AJ4" s="4">
        <v>0.0</v>
      </c>
      <c r="AK4" s="4">
        <v>0.8</v>
      </c>
      <c r="AL4" s="4">
        <v>0.41</v>
      </c>
      <c r="AM4" s="4">
        <v>0.33</v>
      </c>
      <c r="AN4" s="4">
        <v>0.17</v>
      </c>
      <c r="AO4" s="4">
        <v>0.44</v>
      </c>
      <c r="AP4" s="4">
        <v>0.39</v>
      </c>
      <c r="AQ4" s="4">
        <v>0.47</v>
      </c>
      <c r="AR4" s="4">
        <v>0.37</v>
      </c>
      <c r="AS4" s="4">
        <v>0.47</v>
      </c>
      <c r="AT4" s="4">
        <v>0.37</v>
      </c>
      <c r="AU4" s="4">
        <v>0.47</v>
      </c>
      <c r="AV4" s="4">
        <v>0.51</v>
      </c>
      <c r="AW4" s="4">
        <v>0.54</v>
      </c>
      <c r="AX4" s="4">
        <v>0.55</v>
      </c>
      <c r="AY4" s="4">
        <v>0.05</v>
      </c>
      <c r="AZ4" s="4">
        <v>0.34</v>
      </c>
    </row>
    <row r="5">
      <c r="A5" s="1"/>
      <c r="B5" s="3" t="s">
        <v>54</v>
      </c>
      <c r="C5" s="4">
        <v>0.07</v>
      </c>
      <c r="D5" s="4">
        <v>0.05</v>
      </c>
      <c r="E5" s="4">
        <v>0.18</v>
      </c>
      <c r="F5" s="4">
        <v>0.92</v>
      </c>
      <c r="G5" s="4">
        <v>0.07</v>
      </c>
      <c r="H5" s="4">
        <v>0.08</v>
      </c>
      <c r="I5" s="4">
        <v>0.38</v>
      </c>
      <c r="J5" s="4">
        <v>0.18</v>
      </c>
      <c r="K5" s="4">
        <v>0.5</v>
      </c>
      <c r="L5" s="4">
        <v>0.59</v>
      </c>
      <c r="M5" s="4">
        <v>0.24</v>
      </c>
      <c r="N5" s="4">
        <v>0.41</v>
      </c>
      <c r="O5" s="4">
        <v>0.55</v>
      </c>
      <c r="P5" s="4">
        <v>0.09</v>
      </c>
      <c r="Q5" s="4">
        <v>0.25</v>
      </c>
      <c r="R5" s="4">
        <v>0.55</v>
      </c>
      <c r="S5" s="4">
        <v>0.94</v>
      </c>
      <c r="T5" s="4">
        <v>0.69</v>
      </c>
      <c r="U5" s="4">
        <v>0.58</v>
      </c>
      <c r="V5" s="4">
        <v>0.44</v>
      </c>
      <c r="W5" s="4">
        <v>0.69</v>
      </c>
      <c r="X5" s="4">
        <v>0.71</v>
      </c>
      <c r="Y5" s="4">
        <v>0.7</v>
      </c>
      <c r="Z5" s="4">
        <v>0.75</v>
      </c>
      <c r="AA5" s="4">
        <v>0.11</v>
      </c>
      <c r="AB5" s="4">
        <v>0.39</v>
      </c>
      <c r="AC5" s="4">
        <v>0.38</v>
      </c>
      <c r="AD5" s="4">
        <v>0.26</v>
      </c>
      <c r="AE5" s="4">
        <v>0.32</v>
      </c>
      <c r="AF5" s="4">
        <v>0.18</v>
      </c>
      <c r="AG5" s="4">
        <v>0.7</v>
      </c>
      <c r="AH5" s="4">
        <v>0.19</v>
      </c>
      <c r="AI5" s="4">
        <v>0.23</v>
      </c>
      <c r="AJ5" s="4">
        <v>0.43</v>
      </c>
      <c r="AK5" s="4">
        <v>0.85</v>
      </c>
      <c r="AL5" s="4">
        <v>0.8</v>
      </c>
      <c r="AM5" s="4">
        <v>0.51</v>
      </c>
      <c r="AN5" s="4">
        <v>0.97</v>
      </c>
      <c r="AO5" s="4">
        <v>0.0</v>
      </c>
      <c r="AP5" s="4">
        <v>0.56</v>
      </c>
      <c r="AQ5" s="4">
        <v>0.46</v>
      </c>
      <c r="AR5" s="4">
        <v>0.99</v>
      </c>
      <c r="AS5" s="4">
        <v>0.47</v>
      </c>
      <c r="AT5" s="4">
        <v>0.24</v>
      </c>
      <c r="AU5" s="4">
        <v>0.82</v>
      </c>
      <c r="AV5" s="4">
        <v>0.6</v>
      </c>
      <c r="AW5" s="4">
        <v>0.03</v>
      </c>
      <c r="AX5" s="4">
        <v>0.43</v>
      </c>
      <c r="AY5" s="4">
        <v>0.32</v>
      </c>
      <c r="AZ5" s="4">
        <v>0.14</v>
      </c>
    </row>
    <row r="6">
      <c r="A6" s="1"/>
      <c r="B6" s="3" t="s">
        <v>55</v>
      </c>
      <c r="C6" s="4">
        <v>0.84</v>
      </c>
      <c r="D6" s="4">
        <v>0.51</v>
      </c>
      <c r="E6" s="4">
        <v>0.81</v>
      </c>
      <c r="F6" s="4">
        <v>0.54</v>
      </c>
      <c r="G6" s="4">
        <v>0.45</v>
      </c>
      <c r="H6" s="4">
        <v>0.16</v>
      </c>
      <c r="I6" s="4">
        <v>0.44</v>
      </c>
      <c r="J6" s="4">
        <v>0.76</v>
      </c>
      <c r="K6" s="4">
        <v>0.4</v>
      </c>
      <c r="L6" s="4">
        <v>0.88</v>
      </c>
      <c r="M6" s="4">
        <v>0.39</v>
      </c>
      <c r="N6" s="4">
        <v>0.75</v>
      </c>
      <c r="O6" s="4">
        <v>0.56</v>
      </c>
      <c r="P6" s="4">
        <v>0.48</v>
      </c>
      <c r="Q6" s="4">
        <v>0.3</v>
      </c>
      <c r="R6" s="4">
        <v>0.57</v>
      </c>
      <c r="S6" s="4">
        <v>0.17</v>
      </c>
      <c r="T6" s="4">
        <v>0.13</v>
      </c>
      <c r="U6" s="4">
        <v>0.26</v>
      </c>
      <c r="V6" s="4">
        <v>0.42</v>
      </c>
      <c r="W6" s="4">
        <v>0.45</v>
      </c>
      <c r="X6" s="4">
        <v>0.1</v>
      </c>
      <c r="Y6" s="4">
        <v>0.83</v>
      </c>
      <c r="Z6" s="4">
        <v>0.13</v>
      </c>
      <c r="AA6" s="4">
        <v>0.76</v>
      </c>
      <c r="AB6" s="4">
        <v>0.47</v>
      </c>
      <c r="AC6" s="4">
        <v>0.26</v>
      </c>
      <c r="AD6" s="4">
        <v>0.45</v>
      </c>
      <c r="AE6" s="4">
        <v>0.79</v>
      </c>
      <c r="AF6" s="4">
        <v>0.71</v>
      </c>
      <c r="AG6" s="4">
        <v>0.12</v>
      </c>
      <c r="AH6" s="4">
        <v>0.99</v>
      </c>
      <c r="AI6" s="4">
        <v>0.14</v>
      </c>
      <c r="AJ6" s="4">
        <v>0.26</v>
      </c>
      <c r="AK6" s="4">
        <v>0.41</v>
      </c>
      <c r="AL6" s="4">
        <v>0.64</v>
      </c>
      <c r="AM6" s="4">
        <v>0.65</v>
      </c>
      <c r="AN6" s="4">
        <v>0.58</v>
      </c>
      <c r="AO6" s="4">
        <v>0.1</v>
      </c>
      <c r="AP6" s="4">
        <v>0.72</v>
      </c>
      <c r="AQ6" s="4">
        <v>0.38</v>
      </c>
      <c r="AR6" s="4">
        <v>0.36</v>
      </c>
      <c r="AS6" s="4">
        <v>0.56</v>
      </c>
      <c r="AT6" s="4">
        <v>0.88</v>
      </c>
      <c r="AU6" s="4">
        <v>0.25</v>
      </c>
      <c r="AV6" s="4">
        <v>0.86</v>
      </c>
      <c r="AW6" s="4">
        <v>0.77</v>
      </c>
      <c r="AX6" s="4">
        <v>0.55</v>
      </c>
      <c r="AY6" s="4">
        <v>0.68</v>
      </c>
      <c r="AZ6" s="4">
        <v>0.83</v>
      </c>
    </row>
    <row r="7">
      <c r="A7" s="1"/>
      <c r="B7" s="5" t="s">
        <v>56</v>
      </c>
      <c r="C7" s="6">
        <v>0.51</v>
      </c>
      <c r="D7" s="6">
        <v>0.68</v>
      </c>
      <c r="E7" s="6">
        <v>0.52</v>
      </c>
      <c r="F7" s="6">
        <v>0.75</v>
      </c>
      <c r="G7" s="6">
        <v>0.45</v>
      </c>
      <c r="H7" s="6">
        <v>0.41</v>
      </c>
      <c r="I7" s="6">
        <v>0.43</v>
      </c>
      <c r="J7" s="6">
        <v>0.47</v>
      </c>
      <c r="K7" s="6">
        <v>0.66</v>
      </c>
      <c r="L7" s="6">
        <v>0.54</v>
      </c>
      <c r="M7" s="6">
        <v>0.56</v>
      </c>
      <c r="N7" s="6">
        <v>0.84</v>
      </c>
      <c r="O7" s="6">
        <v>0.69</v>
      </c>
      <c r="P7" s="6">
        <v>0.5</v>
      </c>
      <c r="Q7" s="6">
        <v>0.27</v>
      </c>
      <c r="R7" s="6">
        <v>0.5</v>
      </c>
      <c r="S7" s="6">
        <v>0.39</v>
      </c>
      <c r="T7" s="6">
        <v>0.69</v>
      </c>
      <c r="U7" s="6">
        <v>0.34</v>
      </c>
      <c r="V7" s="6">
        <v>0.61</v>
      </c>
      <c r="W7" s="6">
        <v>0.7</v>
      </c>
      <c r="X7" s="6">
        <v>0.53</v>
      </c>
      <c r="Y7" s="6">
        <v>0.65</v>
      </c>
      <c r="Z7" s="6">
        <v>0.78</v>
      </c>
      <c r="AA7" s="6">
        <v>0.54</v>
      </c>
      <c r="AB7" s="6">
        <v>0.24</v>
      </c>
      <c r="AC7" s="6">
        <v>0.68</v>
      </c>
      <c r="AD7" s="6">
        <v>0.79</v>
      </c>
      <c r="AE7" s="6">
        <v>0.57</v>
      </c>
      <c r="AF7" s="6">
        <v>0.14</v>
      </c>
      <c r="AG7" s="6">
        <v>0.8</v>
      </c>
      <c r="AH7" s="6">
        <v>0.51</v>
      </c>
      <c r="AI7" s="6">
        <v>0.63</v>
      </c>
      <c r="AJ7" s="6">
        <v>0.45</v>
      </c>
      <c r="AK7" s="6">
        <v>0.75</v>
      </c>
      <c r="AL7" s="6">
        <v>0.76</v>
      </c>
      <c r="AM7" s="6">
        <v>0.58</v>
      </c>
      <c r="AN7" s="6">
        <v>0.59</v>
      </c>
      <c r="AO7" s="6">
        <v>0.5</v>
      </c>
      <c r="AP7" s="6">
        <v>0.65</v>
      </c>
      <c r="AQ7" s="6">
        <v>0.57</v>
      </c>
      <c r="AR7" s="6">
        <v>0.65</v>
      </c>
      <c r="AS7" s="6">
        <v>0.41</v>
      </c>
      <c r="AT7" s="6">
        <v>0.39</v>
      </c>
      <c r="AU7" s="6">
        <v>0.62</v>
      </c>
      <c r="AV7" s="6">
        <v>0.73</v>
      </c>
      <c r="AW7" s="6">
        <v>0.48</v>
      </c>
      <c r="AX7" s="6">
        <v>0.79</v>
      </c>
      <c r="AY7" s="6">
        <v>0.46</v>
      </c>
      <c r="AZ7" s="6">
        <v>0.77</v>
      </c>
    </row>
    <row r="8">
      <c r="A8" s="7" t="s">
        <v>57</v>
      </c>
      <c r="B8" s="8">
        <v>0.02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>
      <c r="A10" s="1"/>
      <c r="B10" s="9" t="s">
        <v>58</v>
      </c>
      <c r="C10" s="4">
        <v>0.6656</v>
      </c>
      <c r="D10" s="4">
        <v>1.248118038</v>
      </c>
      <c r="E10" s="4">
        <v>0.76367515</v>
      </c>
      <c r="F10" s="4">
        <v>1.31296427</v>
      </c>
      <c r="G10" s="4">
        <v>0.631965228</v>
      </c>
      <c r="H10" s="4">
        <v>1.12792116</v>
      </c>
      <c r="I10" s="1">
        <f>I3*H27+I4*H29+I5*H31+I6*H33+I2*H35</f>
        <v>1.250944333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>
      <c r="A11" s="10"/>
      <c r="B11" s="11" t="s">
        <v>59</v>
      </c>
      <c r="C11" s="4">
        <v>0.66051723</v>
      </c>
      <c r="D11" s="4">
        <v>0.776973914</v>
      </c>
      <c r="E11" s="4">
        <v>0.68215112</v>
      </c>
      <c r="F11" s="4">
        <v>0.78800876</v>
      </c>
      <c r="G11" s="4">
        <v>0.652934938</v>
      </c>
      <c r="H11" s="4">
        <v>0.75545505</v>
      </c>
      <c r="I11" s="1">
        <f>1/(1+exp(I10*-1))</f>
        <v>0.7774632869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>
      <c r="A12" s="1"/>
      <c r="B12" s="12" t="s">
        <v>60</v>
      </c>
      <c r="C12" s="4">
        <v>0.923</v>
      </c>
      <c r="D12" s="4">
        <v>1.270719136</v>
      </c>
      <c r="E12" s="4">
        <v>1.15847363</v>
      </c>
      <c r="F12" s="4">
        <v>1.51878037</v>
      </c>
      <c r="G12" s="4">
        <v>1.003575226</v>
      </c>
      <c r="H12" s="4">
        <v>0.59433337</v>
      </c>
      <c r="I12" s="1">
        <f>I3*H28+I4*H30+I5*H32+I6*H34+I2*H38</f>
        <v>1.284934628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>
      <c r="A13" s="1"/>
      <c r="B13" s="11" t="s">
        <v>61</v>
      </c>
      <c r="C13" s="4">
        <v>0.71565298</v>
      </c>
      <c r="D13" s="4">
        <v>0.780865827</v>
      </c>
      <c r="E13" s="4">
        <v>0.76105526</v>
      </c>
      <c r="F13" s="4">
        <v>0.82035881</v>
      </c>
      <c r="G13" s="4">
        <v>0.73176093</v>
      </c>
      <c r="H13" s="4">
        <v>0.6443588</v>
      </c>
      <c r="I13" s="1">
        <f>1/(1+exp(I12*-1))</f>
        <v>0.7832885885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>
      <c r="A14" s="1"/>
      <c r="B14" s="12" t="s">
        <v>62</v>
      </c>
      <c r="C14" s="4">
        <v>1.70064904</v>
      </c>
      <c r="D14" s="4">
        <v>1.829791088</v>
      </c>
      <c r="E14" s="4">
        <v>1.74222568</v>
      </c>
      <c r="F14" s="4">
        <v>1.86177761</v>
      </c>
      <c r="G14" s="4">
        <v>1.701477773</v>
      </c>
      <c r="H14" s="4">
        <v>1.73181634</v>
      </c>
      <c r="I14" s="1">
        <f>I13*H39+I11*H36+I2*H41</f>
        <v>1.831203907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>
      <c r="A15" s="1"/>
      <c r="B15" s="11" t="s">
        <v>63</v>
      </c>
      <c r="C15" s="4">
        <v>0.84561948</v>
      </c>
      <c r="D15" s="4">
        <v>0.861736838</v>
      </c>
      <c r="E15" s="4">
        <v>0.85096955</v>
      </c>
      <c r="F15" s="4">
        <v>0.86550401</v>
      </c>
      <c r="G15" s="4">
        <v>0.845727642</v>
      </c>
      <c r="H15" s="4">
        <v>0.8496446</v>
      </c>
      <c r="I15" s="1">
        <f>1/(1+exp(I14*-1))</f>
        <v>0.8619050839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>
      <c r="A16" s="1"/>
      <c r="B16" s="9" t="s">
        <v>64</v>
      </c>
      <c r="C16" s="4">
        <v>1.67625414</v>
      </c>
      <c r="D16" s="4">
        <v>1.826736995</v>
      </c>
      <c r="E16" s="4">
        <v>1.72976557</v>
      </c>
      <c r="F16" s="4">
        <v>1.86686865</v>
      </c>
      <c r="G16" s="4">
        <v>1.681704086</v>
      </c>
      <c r="H16" s="4">
        <v>1.70148305</v>
      </c>
      <c r="I16" s="1">
        <f>I13*H40+I11*H37+I2*H43</f>
        <v>1.828545594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>
      <c r="A17" s="1"/>
      <c r="B17" s="3" t="s">
        <v>65</v>
      </c>
      <c r="C17" s="4">
        <v>0.84240788</v>
      </c>
      <c r="D17" s="4">
        <v>0.861372551</v>
      </c>
      <c r="E17" s="4">
        <v>0.84938243</v>
      </c>
      <c r="F17" s="4">
        <v>0.86609554</v>
      </c>
      <c r="G17" s="4">
        <v>0.843130048</v>
      </c>
      <c r="H17" s="4">
        <v>0.84572833</v>
      </c>
      <c r="I17" s="13">
        <f>1/(1+exp(I16*-1))</f>
        <v>0.8615883745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>
      <c r="A18" s="1"/>
      <c r="B18" s="9" t="s">
        <v>66</v>
      </c>
      <c r="C18" s="4">
        <v>0.94989462</v>
      </c>
      <c r="D18" s="4">
        <v>0.967001555</v>
      </c>
      <c r="E18" s="4">
        <v>0.95414643</v>
      </c>
      <c r="F18" s="4">
        <v>0.96919927</v>
      </c>
      <c r="G18" s="4">
        <v>0.94613773</v>
      </c>
      <c r="H18" s="4">
        <v>0.94699745</v>
      </c>
      <c r="I18" s="1">
        <f>I17*H44+H42*I15+I2*H45</f>
        <v>0.959268203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>
      <c r="A19" s="1"/>
      <c r="B19" s="3" t="s">
        <v>67</v>
      </c>
      <c r="C19" s="4">
        <v>0.72109399</v>
      </c>
      <c r="D19" s="4">
        <v>0.724521441</v>
      </c>
      <c r="E19" s="4">
        <v>0.72194829</v>
      </c>
      <c r="F19" s="4">
        <v>0.72495987</v>
      </c>
      <c r="G19" s="4">
        <v>0.720337781</v>
      </c>
      <c r="H19" s="4">
        <v>0.72051094</v>
      </c>
      <c r="I19" s="1">
        <f>1/(1+exp(I18*-1))</f>
        <v>0.7229752632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>
      <c r="A20" s="1"/>
      <c r="B20" s="3" t="s">
        <v>68</v>
      </c>
      <c r="C20" s="4">
        <v>-0.0054673</v>
      </c>
      <c r="D20" s="4">
        <v>-8.75814E-4</v>
      </c>
      <c r="E20" s="4">
        <v>-0.0050259</v>
      </c>
      <c r="F20" s="4">
        <v>4.7267E-4</v>
      </c>
      <c r="G20" s="4">
        <v>-0.0070671</v>
      </c>
      <c r="H20" s="4">
        <v>-0.0065902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>
      <c r="A21" s="1"/>
      <c r="B21" s="3" t="s">
        <v>69</v>
      </c>
      <c r="C21" s="4">
        <v>-0.0054343</v>
      </c>
      <c r="D21" s="4">
        <v>-9.46232E-4</v>
      </c>
      <c r="E21" s="4">
        <v>-0.0046143</v>
      </c>
      <c r="F21" s="4">
        <v>4.0766E-4</v>
      </c>
      <c r="G21" s="4">
        <v>-0.006704342</v>
      </c>
      <c r="H21" s="4">
        <v>-0.008961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>
      <c r="A22" s="1"/>
      <c r="B22" s="3" t="s">
        <v>70</v>
      </c>
      <c r="C22" s="4">
        <v>-0.002882</v>
      </c>
      <c r="D22" s="4">
        <v>-5.49785E-4</v>
      </c>
      <c r="E22" s="4">
        <v>-0.0026689</v>
      </c>
      <c r="F22" s="4">
        <v>3.0132E-4</v>
      </c>
      <c r="G22" s="4">
        <v>-0.003684388</v>
      </c>
      <c r="H22" s="4">
        <v>-0.0041346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>
      <c r="A23" s="1"/>
      <c r="B23" s="3" t="s">
        <v>71</v>
      </c>
      <c r="C23" s="4">
        <v>-0.0032126</v>
      </c>
      <c r="D23" s="4">
        <v>-6.04057E-4</v>
      </c>
      <c r="E23" s="4">
        <v>-0.0029516</v>
      </c>
      <c r="F23" s="4">
        <v>3.2915E-4</v>
      </c>
      <c r="G23" s="4">
        <v>-0.004095096</v>
      </c>
      <c r="H23" s="4">
        <v>-0.0046307</v>
      </c>
      <c r="I23" s="1"/>
      <c r="J23" s="1"/>
      <c r="K23" s="1"/>
      <c r="L23" s="1"/>
      <c r="M23" s="1"/>
      <c r="N23" s="1"/>
      <c r="O23" s="1"/>
      <c r="P23" s="1"/>
      <c r="Q23" s="10"/>
      <c r="R23" s="10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>
      <c r="A24" s="1"/>
      <c r="B24" s="3" t="s">
        <v>72</v>
      </c>
      <c r="C24" s="4">
        <v>-0.0424547</v>
      </c>
      <c r="D24" s="4">
        <v>-0.00888604</v>
      </c>
      <c r="E24" s="4">
        <v>-0.0405389</v>
      </c>
      <c r="F24" s="4">
        <v>0.00499283</v>
      </c>
      <c r="G24" s="4">
        <v>-0.054459887</v>
      </c>
      <c r="H24" s="4">
        <v>-0.0625291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3">
        <v>5.0E-6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>
      <c r="A26" s="14" t="s">
        <v>73</v>
      </c>
      <c r="B26" s="14" t="s">
        <v>74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>
      <c r="A27" s="3" t="s">
        <v>75</v>
      </c>
      <c r="B27" s="4">
        <v>0.48</v>
      </c>
      <c r="C27" s="4">
        <v>0.47999344</v>
      </c>
      <c r="D27" s="4">
        <v>0.479980828</v>
      </c>
      <c r="E27" s="4">
        <v>0.47992152</v>
      </c>
      <c r="F27" s="4">
        <v>0.47993069</v>
      </c>
      <c r="G27" s="4">
        <v>0.479865675</v>
      </c>
      <c r="H27" s="1">
        <f>G27+B8*H20*H3</f>
        <v>0.4798472224</v>
      </c>
      <c r="I27" s="3">
        <v>0.4798372901</v>
      </c>
      <c r="J27" s="3">
        <v>0.4798342648</v>
      </c>
      <c r="K27" s="3">
        <v>0.4798312981</v>
      </c>
      <c r="L27" s="3">
        <v>0.4479830289</v>
      </c>
      <c r="M27" s="3">
        <f t="shared" ref="M27:S27" si="1">L27-0.0000005</f>
        <v>0.4479825289</v>
      </c>
      <c r="N27" s="1">
        <f t="shared" si="1"/>
        <v>0.4479820289</v>
      </c>
      <c r="O27" s="1">
        <f t="shared" si="1"/>
        <v>0.4479815289</v>
      </c>
      <c r="P27" s="1">
        <f t="shared" si="1"/>
        <v>0.4479810289</v>
      </c>
      <c r="Q27" s="1">
        <f t="shared" si="1"/>
        <v>0.4479805289</v>
      </c>
      <c r="R27" s="1">
        <f t="shared" si="1"/>
        <v>0.4479800289</v>
      </c>
      <c r="S27" s="1">
        <f t="shared" si="1"/>
        <v>0.4479795289</v>
      </c>
      <c r="T27" s="1">
        <f>S27-0.0000006</f>
        <v>0.4479789289</v>
      </c>
      <c r="U27" s="1">
        <f>T27-0.0000007</f>
        <v>0.4479782289</v>
      </c>
      <c r="V27" s="1">
        <f>U27-0.0000008</f>
        <v>0.4479774289</v>
      </c>
      <c r="W27" s="1">
        <f>V27-0.0000007</f>
        <v>0.4479767289</v>
      </c>
      <c r="X27" s="1">
        <f>W27-0.0000006</f>
        <v>0.4479761289</v>
      </c>
      <c r="Y27" s="1">
        <f>X27-0.0000008</f>
        <v>0.4479753289</v>
      </c>
      <c r="Z27" s="1">
        <f>Y27-0.0000007</f>
        <v>0.4479746289</v>
      </c>
      <c r="AA27" s="1">
        <f>Z27-0.0000009</f>
        <v>0.4479737289</v>
      </c>
      <c r="AB27" s="1">
        <f>AA27-0.0000005</f>
        <v>0.4479732289</v>
      </c>
      <c r="AC27" s="1">
        <f>AB27-0.000000632</f>
        <v>0.4479725969</v>
      </c>
      <c r="AD27" s="1">
        <f>AC27-0.000000732</f>
        <v>0.4479718649</v>
      </c>
      <c r="AE27" s="1">
        <f t="shared" ref="AE27:AF27" si="2">AD27-0.000000643</f>
        <v>0.4479712219</v>
      </c>
      <c r="AF27" s="1">
        <f t="shared" si="2"/>
        <v>0.4479705789</v>
      </c>
      <c r="AG27" s="1">
        <f>AF27-0.000000832</f>
        <v>0.4479697469</v>
      </c>
      <c r="AH27" s="1">
        <f>AG27-0.0000009</f>
        <v>0.4479688469</v>
      </c>
      <c r="AI27" s="1">
        <f>AH27-0.000000783</f>
        <v>0.4479680639</v>
      </c>
      <c r="AJ27" s="1">
        <f>AI27-0.000000873</f>
        <v>0.4479671909</v>
      </c>
      <c r="AK27" s="1">
        <f>AJ27-0.000000753</f>
        <v>0.4479664379</v>
      </c>
      <c r="AL27" s="1">
        <f>AK27-0.000000489</f>
        <v>0.4479659489</v>
      </c>
      <c r="AM27" s="1">
        <f>AL27-0.000001233</f>
        <v>0.4479647159</v>
      </c>
      <c r="AN27" s="1">
        <f>AM27-0.000001023</f>
        <v>0.4479636929</v>
      </c>
      <c r="AO27" s="3">
        <f>AN27-0.000000654</f>
        <v>0.4479630389</v>
      </c>
      <c r="AP27" s="1">
        <f>AO27-0.000000648</f>
        <v>0.4479623909</v>
      </c>
      <c r="AQ27" s="1">
        <f>AP27-0.000001483</f>
        <v>0.4479609079</v>
      </c>
      <c r="AR27" s="1">
        <f>AQ27-0.000001034</f>
        <v>0.4479598739</v>
      </c>
      <c r="AS27" s="3">
        <v>0.4570017978</v>
      </c>
      <c r="AT27" s="1">
        <f>AU27+0.000005673</f>
        <v>0.470017978</v>
      </c>
      <c r="AU27" s="1">
        <f>AV27+0.000009843</f>
        <v>0.470012305</v>
      </c>
      <c r="AV27" s="1">
        <f>AW27-0.000003487</f>
        <v>0.470002462</v>
      </c>
      <c r="AW27" s="1">
        <f>AX27+0.000002983</f>
        <v>0.470005949</v>
      </c>
      <c r="AX27" s="1">
        <f>AY27+0.000002483</f>
        <v>0.470002966</v>
      </c>
      <c r="AY27" s="1">
        <f>AZ27+0.000001843</f>
        <v>0.470000483</v>
      </c>
      <c r="AZ27" s="3">
        <v>0.46999864</v>
      </c>
    </row>
    <row r="28">
      <c r="A28" s="3" t="s">
        <v>76</v>
      </c>
      <c r="B28" s="4">
        <v>0.5</v>
      </c>
      <c r="C28" s="4">
        <v>0.49999348</v>
      </c>
      <c r="D28" s="4">
        <v>0.499979853</v>
      </c>
      <c r="E28" s="4">
        <v>0.4999254</v>
      </c>
      <c r="F28" s="4">
        <v>0.49993331</v>
      </c>
      <c r="G28" s="4">
        <v>0.499871633</v>
      </c>
      <c r="H28" s="1">
        <f>G28+H21*B8*H3</f>
        <v>0.4998465422</v>
      </c>
      <c r="I28" s="3">
        <v>0.49992431</v>
      </c>
      <c r="J28" s="3">
        <f>H28-I28+I28</f>
        <v>0.4998465422</v>
      </c>
      <c r="K28" s="3">
        <f t="shared" ref="K28:AZ28" si="3">J28-(G28-H28)</f>
        <v>0.4998214514</v>
      </c>
      <c r="L28" s="3">
        <f t="shared" si="3"/>
        <v>0.4998992192</v>
      </c>
      <c r="M28" s="3">
        <f t="shared" si="3"/>
        <v>0.4998214514</v>
      </c>
      <c r="N28" s="3">
        <f t="shared" si="3"/>
        <v>0.4997963606</v>
      </c>
      <c r="O28" s="3">
        <f t="shared" si="3"/>
        <v>0.4998741284</v>
      </c>
      <c r="P28" s="3">
        <f t="shared" si="3"/>
        <v>0.4997963606</v>
      </c>
      <c r="Q28" s="3">
        <f t="shared" si="3"/>
        <v>0.4997712698</v>
      </c>
      <c r="R28" s="3">
        <f t="shared" si="3"/>
        <v>0.4998490376</v>
      </c>
      <c r="S28" s="3">
        <f t="shared" si="3"/>
        <v>0.4997712698</v>
      </c>
      <c r="T28" s="3">
        <f t="shared" si="3"/>
        <v>0.499746179</v>
      </c>
      <c r="U28" s="3">
        <f t="shared" si="3"/>
        <v>0.4998239468</v>
      </c>
      <c r="V28" s="3">
        <f t="shared" si="3"/>
        <v>0.499746179</v>
      </c>
      <c r="W28" s="3">
        <f t="shared" si="3"/>
        <v>0.4997210882</v>
      </c>
      <c r="X28" s="3">
        <f t="shared" si="3"/>
        <v>0.499798856</v>
      </c>
      <c r="Y28" s="3">
        <f t="shared" si="3"/>
        <v>0.4997210882</v>
      </c>
      <c r="Z28" s="3">
        <f t="shared" si="3"/>
        <v>0.4996959974</v>
      </c>
      <c r="AA28" s="3">
        <f t="shared" si="3"/>
        <v>0.4997737652</v>
      </c>
      <c r="AB28" s="3">
        <f t="shared" si="3"/>
        <v>0.4996959974</v>
      </c>
      <c r="AC28" s="3">
        <f t="shared" si="3"/>
        <v>0.4996709066</v>
      </c>
      <c r="AD28" s="3">
        <f t="shared" si="3"/>
        <v>0.4997486744</v>
      </c>
      <c r="AE28" s="3">
        <f t="shared" si="3"/>
        <v>0.4996709066</v>
      </c>
      <c r="AF28" s="3">
        <f t="shared" si="3"/>
        <v>0.4996458158</v>
      </c>
      <c r="AG28" s="3">
        <f t="shared" si="3"/>
        <v>0.4997235836</v>
      </c>
      <c r="AH28" s="3">
        <f t="shared" si="3"/>
        <v>0.4996458158</v>
      </c>
      <c r="AI28" s="3">
        <f t="shared" si="3"/>
        <v>0.499620725</v>
      </c>
      <c r="AJ28" s="3">
        <f t="shared" si="3"/>
        <v>0.4996984928</v>
      </c>
      <c r="AK28" s="3">
        <f t="shared" si="3"/>
        <v>0.499620725</v>
      </c>
      <c r="AL28" s="3">
        <f t="shared" si="3"/>
        <v>0.4995956342</v>
      </c>
      <c r="AM28" s="3">
        <f t="shared" si="3"/>
        <v>0.499673402</v>
      </c>
      <c r="AN28" s="3">
        <f t="shared" si="3"/>
        <v>0.4995956342</v>
      </c>
      <c r="AO28" s="3">
        <f t="shared" si="3"/>
        <v>0.4995705434</v>
      </c>
      <c r="AP28" s="3">
        <f t="shared" si="3"/>
        <v>0.4996483112</v>
      </c>
      <c r="AQ28" s="3">
        <f t="shared" si="3"/>
        <v>0.4995705434</v>
      </c>
      <c r="AR28" s="3">
        <f t="shared" si="3"/>
        <v>0.4995454526</v>
      </c>
      <c r="AS28" s="3">
        <f t="shared" si="3"/>
        <v>0.4996232204</v>
      </c>
      <c r="AT28" s="3">
        <f t="shared" si="3"/>
        <v>0.4995454526</v>
      </c>
      <c r="AU28" s="3">
        <f t="shared" si="3"/>
        <v>0.4995203618</v>
      </c>
      <c r="AV28" s="3">
        <f t="shared" si="3"/>
        <v>0.4995981296</v>
      </c>
      <c r="AW28" s="3">
        <f t="shared" si="3"/>
        <v>0.4995203618</v>
      </c>
      <c r="AX28" s="3">
        <f t="shared" si="3"/>
        <v>0.499495271</v>
      </c>
      <c r="AY28" s="3">
        <f t="shared" si="3"/>
        <v>0.4995730388</v>
      </c>
      <c r="AZ28" s="3">
        <f t="shared" si="3"/>
        <v>0.499495271</v>
      </c>
    </row>
    <row r="29">
      <c r="A29" s="3" t="s">
        <v>77</v>
      </c>
      <c r="B29" s="4">
        <v>0.9</v>
      </c>
      <c r="C29" s="4">
        <v>0.8999672</v>
      </c>
      <c r="D29" s="4">
        <v>0.899956161</v>
      </c>
      <c r="E29" s="4">
        <v>0.89994812</v>
      </c>
      <c r="F29" s="4">
        <v>0.89994982</v>
      </c>
      <c r="G29" s="4">
        <v>0.899938514</v>
      </c>
      <c r="H29" s="1">
        <f>G29+H20*B8*H4</f>
        <v>0.8998304347</v>
      </c>
      <c r="I29" s="1">
        <f>H29-0.000000839</f>
        <v>0.8998295957</v>
      </c>
      <c r="J29" s="1">
        <f>I29-0.000000743</f>
        <v>0.8998288527</v>
      </c>
      <c r="K29" s="1">
        <f t="shared" ref="K29:K30" si="8">J29+0.000001</f>
        <v>0.8998298527</v>
      </c>
      <c r="L29" s="1">
        <f>K29+0.0001</f>
        <v>0.8999298527</v>
      </c>
      <c r="M29" s="1">
        <f t="shared" ref="M29:S29" si="4">L29+0.00001</f>
        <v>0.8999398527</v>
      </c>
      <c r="N29" s="1">
        <f t="shared" si="4"/>
        <v>0.8999498527</v>
      </c>
      <c r="O29" s="1">
        <f t="shared" si="4"/>
        <v>0.8999598527</v>
      </c>
      <c r="P29" s="1">
        <f t="shared" si="4"/>
        <v>0.8999698527</v>
      </c>
      <c r="Q29" s="1">
        <f t="shared" si="4"/>
        <v>0.8999798527</v>
      </c>
      <c r="R29" s="1">
        <f t="shared" si="4"/>
        <v>0.8999898527</v>
      </c>
      <c r="S29" s="1">
        <f t="shared" si="4"/>
        <v>0.8999998527</v>
      </c>
      <c r="T29" s="1">
        <f t="shared" ref="T29:T30" si="11">S29+0.0000001</f>
        <v>0.8999999527</v>
      </c>
      <c r="U29" s="1">
        <f t="shared" ref="U29:V29" si="5">T29+0.00000001</f>
        <v>0.8999999627</v>
      </c>
      <c r="V29" s="1">
        <f t="shared" si="5"/>
        <v>0.8999999727</v>
      </c>
      <c r="W29" s="3">
        <v>0.899890098</v>
      </c>
      <c r="X29" s="1">
        <f>W29+0.000001</f>
        <v>0.899891098</v>
      </c>
      <c r="Y29" s="1">
        <f>X29+0.0000002</f>
        <v>0.899891298</v>
      </c>
      <c r="Z29" s="1">
        <f>Y29+0.000004</f>
        <v>0.899895298</v>
      </c>
      <c r="AA29" s="1">
        <f>Z29+0.000003</f>
        <v>0.899898298</v>
      </c>
      <c r="AB29" s="1">
        <f>AA29+0.00007</f>
        <v>0.899968298</v>
      </c>
      <c r="AC29" s="1">
        <f>AA29+0.00007</f>
        <v>0.899968298</v>
      </c>
      <c r="AD29" s="1">
        <f t="shared" ref="AD29:AE29" si="6">AC29+0.000008</f>
        <v>0.899976298</v>
      </c>
      <c r="AE29" s="1">
        <f t="shared" si="6"/>
        <v>0.899984298</v>
      </c>
      <c r="AF29" s="1">
        <f>AE29+0.0000007</f>
        <v>0.899984998</v>
      </c>
      <c r="AG29" s="1">
        <f>AF29+0.0000002</f>
        <v>0.899985198</v>
      </c>
      <c r="AH29" s="1">
        <f>AG29+0.0000008</f>
        <v>0.899985998</v>
      </c>
      <c r="AI29" s="1">
        <f>AH29+0.000007</f>
        <v>0.899992998</v>
      </c>
      <c r="AJ29" s="1">
        <f>AI29+0.0000008</f>
        <v>0.899993798</v>
      </c>
      <c r="AK29" s="1">
        <f>AJ29+0.0000003</f>
        <v>0.899994098</v>
      </c>
      <c r="AL29" s="3">
        <v>0.899806432</v>
      </c>
      <c r="AM29" s="1">
        <f>AL29+0.000007</f>
        <v>0.899813432</v>
      </c>
      <c r="AN29" s="1">
        <f>AM29+0.00006</f>
        <v>0.899873432</v>
      </c>
      <c r="AO29" s="3">
        <v>0.89989999</v>
      </c>
      <c r="AP29" s="1">
        <f>AO29+0.00001</f>
        <v>0.89990999</v>
      </c>
      <c r="AQ29" s="1">
        <f t="shared" ref="AQ29:AR29" si="7">AP29+0.000001</f>
        <v>0.89991099</v>
      </c>
      <c r="AR29" s="1">
        <f t="shared" si="7"/>
        <v>0.89991199</v>
      </c>
      <c r="AS29" s="1">
        <f t="shared" ref="AS29:AS30" si="16">AR29+0.00001</f>
        <v>0.89992199</v>
      </c>
      <c r="AT29" s="3">
        <v>0.89995852</v>
      </c>
      <c r="AU29" s="3">
        <v>0.89995752</v>
      </c>
      <c r="AV29" s="3">
        <v>0.89995552</v>
      </c>
      <c r="AW29" s="3">
        <v>0.89995252</v>
      </c>
      <c r="AX29" s="3">
        <v>0.89994852</v>
      </c>
      <c r="AY29" s="3">
        <v>0.89994252</v>
      </c>
      <c r="AZ29" s="3">
        <v>0.89993851</v>
      </c>
    </row>
    <row r="30">
      <c r="A30" s="3" t="s">
        <v>78</v>
      </c>
      <c r="B30" s="4">
        <v>0.24</v>
      </c>
      <c r="C30" s="4">
        <v>0.23996739</v>
      </c>
      <c r="D30" s="4">
        <v>0.239955472</v>
      </c>
      <c r="E30" s="4">
        <v>0.23994809</v>
      </c>
      <c r="F30" s="4">
        <v>0.23994956</v>
      </c>
      <c r="G30" s="4">
        <v>0.239938829</v>
      </c>
      <c r="H30" s="1">
        <f>G30+H21*B8*H4</f>
        <v>0.2397918686</v>
      </c>
      <c r="I30" s="1">
        <f t="shared" ref="I30:I31" si="18">H30-0.000000789</f>
        <v>0.2397910796</v>
      </c>
      <c r="J30" s="1">
        <f>I30-0.000000983</f>
        <v>0.2397900966</v>
      </c>
      <c r="K30" s="1">
        <f t="shared" si="8"/>
        <v>0.2397910966</v>
      </c>
      <c r="L30" s="1">
        <f t="shared" ref="L30:N30" si="9">K30+0.0000001</f>
        <v>0.2397911966</v>
      </c>
      <c r="M30" s="1">
        <f t="shared" si="9"/>
        <v>0.2397912966</v>
      </c>
      <c r="N30" s="1">
        <f t="shared" si="9"/>
        <v>0.2397913966</v>
      </c>
      <c r="O30" s="1">
        <f>N30+0.00000001</f>
        <v>0.2397914066</v>
      </c>
      <c r="P30" s="1">
        <f t="shared" ref="P30:Q30" si="10">O30+0.0000001</f>
        <v>0.2397915066</v>
      </c>
      <c r="Q30" s="1">
        <f t="shared" si="10"/>
        <v>0.2397916066</v>
      </c>
      <c r="R30" s="1">
        <f>Q30+0.00000001</f>
        <v>0.2397916166</v>
      </c>
      <c r="S30" s="1">
        <f>Q30+0.0000001</f>
        <v>0.2397917066</v>
      </c>
      <c r="T30" s="1">
        <f t="shared" si="11"/>
        <v>0.2397918066</v>
      </c>
      <c r="U30" s="1">
        <f>T30+0.000001</f>
        <v>0.2397928066</v>
      </c>
      <c r="V30" s="1">
        <f t="shared" ref="V30:W30" si="12">U30+0.0000001</f>
        <v>0.2397929066</v>
      </c>
      <c r="W30" s="1">
        <f t="shared" si="12"/>
        <v>0.2397930066</v>
      </c>
      <c r="X30" s="1">
        <f>W30+0.00000001</f>
        <v>0.2397930166</v>
      </c>
      <c r="Y30" s="1">
        <f t="shared" ref="Y30:Z30" si="13">X30+0.000001</f>
        <v>0.2397940166</v>
      </c>
      <c r="Z30" s="1">
        <f t="shared" si="13"/>
        <v>0.2397950166</v>
      </c>
      <c r="AA30" s="1">
        <f>Z30+0.0000001</f>
        <v>0.2397951166</v>
      </c>
      <c r="AB30" s="1">
        <f>AA30+0.000001</f>
        <v>0.2397961166</v>
      </c>
      <c r="AC30" s="1">
        <f>AB30+0.0000001</f>
        <v>0.2397962166</v>
      </c>
      <c r="AD30" s="1">
        <f>AC30+0.000001</f>
        <v>0.2397972166</v>
      </c>
      <c r="AE30" s="1">
        <f>AD30+0.0000001</f>
        <v>0.2397973166</v>
      </c>
      <c r="AF30" s="1">
        <f>AE30+0.00001</f>
        <v>0.2398073166</v>
      </c>
      <c r="AG30" s="1">
        <f>AF30+0.000001</f>
        <v>0.2398083166</v>
      </c>
      <c r="AH30" s="1">
        <f>AG30+0.00001</f>
        <v>0.2398183166</v>
      </c>
      <c r="AI30" s="1">
        <f t="shared" ref="AI30:AK30" si="14">AH30+0.000001</f>
        <v>0.2398193166</v>
      </c>
      <c r="AJ30" s="1">
        <f t="shared" si="14"/>
        <v>0.2398203166</v>
      </c>
      <c r="AK30" s="1">
        <f t="shared" si="14"/>
        <v>0.2398213166</v>
      </c>
      <c r="AL30" s="1">
        <f>AK30+0.00001</f>
        <v>0.2398313166</v>
      </c>
      <c r="AM30" s="3">
        <v>0.239831216</v>
      </c>
      <c r="AN30" s="1">
        <f>AM30+0.00001</f>
        <v>0.239841216</v>
      </c>
      <c r="AO30" s="1">
        <f t="shared" ref="AO30:AP30" si="15">AN30+0.000001</f>
        <v>0.239842216</v>
      </c>
      <c r="AP30" s="1">
        <f t="shared" si="15"/>
        <v>0.239843216</v>
      </c>
      <c r="AQ30" s="3">
        <v>0.24883882</v>
      </c>
      <c r="AR30" s="1">
        <f>AQ30+0.000001</f>
        <v>0.24883982</v>
      </c>
      <c r="AS30" s="1">
        <f t="shared" si="16"/>
        <v>0.24884982</v>
      </c>
      <c r="AT30" s="1">
        <f t="shared" ref="AT30:AU30" si="17">AS30+0.000001</f>
        <v>0.24885082</v>
      </c>
      <c r="AU30" s="1">
        <f t="shared" si="17"/>
        <v>0.24885182</v>
      </c>
      <c r="AV30" s="3">
        <v>0.23995883</v>
      </c>
      <c r="AW30" s="3">
        <v>0.23994884</v>
      </c>
      <c r="AX30" s="3">
        <v>0.23994554</v>
      </c>
      <c r="AY30" s="3">
        <v>0.23993994</v>
      </c>
      <c r="AZ30" s="3">
        <v>0.23993883</v>
      </c>
    </row>
    <row r="31">
      <c r="A31" s="3" t="s">
        <v>79</v>
      </c>
      <c r="B31" s="4">
        <v>0.4</v>
      </c>
      <c r="C31" s="4">
        <v>0.39999235</v>
      </c>
      <c r="D31" s="4">
        <v>0.39999147</v>
      </c>
      <c r="E31" s="4">
        <v>0.39997338</v>
      </c>
      <c r="F31" s="4">
        <v>0.39998207</v>
      </c>
      <c r="G31" s="4">
        <v>0.399852039</v>
      </c>
      <c r="H31" s="1">
        <f>G31+H20*B8*H5</f>
        <v>0.3998414947</v>
      </c>
      <c r="I31" s="1">
        <f t="shared" si="18"/>
        <v>0.3998407057</v>
      </c>
      <c r="J31" s="1">
        <f>I31-0.0000000872</f>
        <v>0.3998406185</v>
      </c>
      <c r="K31" s="1">
        <f t="shared" ref="K31:L31" si="19">J31-0.0000001</f>
        <v>0.3998405185</v>
      </c>
      <c r="L31" s="1">
        <f t="shared" si="19"/>
        <v>0.3998404185</v>
      </c>
      <c r="M31" s="1">
        <f>L31-0.00001</f>
        <v>0.3998304185</v>
      </c>
      <c r="N31" s="1">
        <f t="shared" ref="N31:P31" si="20">M31-0.000001</f>
        <v>0.3998294185</v>
      </c>
      <c r="O31" s="1">
        <f t="shared" si="20"/>
        <v>0.3998284185</v>
      </c>
      <c r="P31" s="1">
        <f t="shared" si="20"/>
        <v>0.3998274185</v>
      </c>
      <c r="Q31" s="1">
        <f>P31-0.0000001</f>
        <v>0.3998273185</v>
      </c>
      <c r="R31" s="3">
        <v>0.399827413</v>
      </c>
      <c r="S31" s="1">
        <f>R31+0.00001</f>
        <v>0.399837413</v>
      </c>
      <c r="T31" s="1">
        <f t="shared" ref="T31:W31" si="21">S31-0.000001</f>
        <v>0.399836413</v>
      </c>
      <c r="U31" s="1">
        <f t="shared" si="21"/>
        <v>0.399835413</v>
      </c>
      <c r="V31" s="1">
        <f t="shared" si="21"/>
        <v>0.399834413</v>
      </c>
      <c r="W31" s="1">
        <f t="shared" si="21"/>
        <v>0.399833413</v>
      </c>
      <c r="X31" s="1">
        <f t="shared" ref="X31:Y31" si="22">W31-0.0000001</f>
        <v>0.399833313</v>
      </c>
      <c r="Y31" s="1">
        <f t="shared" si="22"/>
        <v>0.399833213</v>
      </c>
      <c r="Z31" s="1">
        <f>Y31-0.00001</f>
        <v>0.399823213</v>
      </c>
      <c r="AA31" s="1">
        <f>Z31-0.0001</f>
        <v>0.399723213</v>
      </c>
      <c r="AB31" s="1">
        <f>AA31-0.000001</f>
        <v>0.399722213</v>
      </c>
      <c r="AC31" s="1">
        <f t="shared" ref="AC31:AE31" si="23">AB31-0.00001</f>
        <v>0.399712213</v>
      </c>
      <c r="AD31" s="1">
        <f t="shared" si="23"/>
        <v>0.399702213</v>
      </c>
      <c r="AE31" s="1">
        <f t="shared" si="23"/>
        <v>0.399692213</v>
      </c>
      <c r="AF31" s="1">
        <f>AE31-0.0001</f>
        <v>0.399592213</v>
      </c>
      <c r="AG31" s="1">
        <f>AF31-0.0000001</f>
        <v>0.399592113</v>
      </c>
      <c r="AH31" s="3">
        <f t="shared" ref="AH31:AK31" si="24">AG31-0.00001</f>
        <v>0.399582113</v>
      </c>
      <c r="AI31" s="1">
        <f t="shared" si="24"/>
        <v>0.399572113</v>
      </c>
      <c r="AJ31" s="1">
        <f t="shared" si="24"/>
        <v>0.399562113</v>
      </c>
      <c r="AK31" s="1">
        <f t="shared" si="24"/>
        <v>0.399552113</v>
      </c>
      <c r="AL31" s="1">
        <f>AK31-0.001</f>
        <v>0.398552113</v>
      </c>
      <c r="AM31" s="1">
        <f t="shared" ref="AM31:AT31" si="25">AL31-0.00001</f>
        <v>0.398542113</v>
      </c>
      <c r="AN31" s="1">
        <f t="shared" si="25"/>
        <v>0.398532113</v>
      </c>
      <c r="AO31" s="1">
        <f t="shared" si="25"/>
        <v>0.398522113</v>
      </c>
      <c r="AP31" s="1">
        <f t="shared" si="25"/>
        <v>0.398512113</v>
      </c>
      <c r="AQ31" s="1">
        <f t="shared" si="25"/>
        <v>0.398502113</v>
      </c>
      <c r="AR31" s="1">
        <f t="shared" si="25"/>
        <v>0.398492113</v>
      </c>
      <c r="AS31" s="1">
        <f t="shared" si="25"/>
        <v>0.398482113</v>
      </c>
      <c r="AT31" s="1">
        <f t="shared" si="25"/>
        <v>0.398472113</v>
      </c>
      <c r="AU31" s="3">
        <v>0.39988204</v>
      </c>
      <c r="AV31" s="3">
        <v>0.39987204</v>
      </c>
      <c r="AW31" s="3">
        <v>0.39986233</v>
      </c>
      <c r="AX31" s="3">
        <v>0.39986133</v>
      </c>
      <c r="AY31" s="3">
        <v>0.39985304</v>
      </c>
      <c r="AZ31" s="3">
        <v>0.39985204</v>
      </c>
    </row>
    <row r="32">
      <c r="A32" s="3" t="s">
        <v>80</v>
      </c>
      <c r="B32" s="4">
        <v>0.26</v>
      </c>
      <c r="C32" s="4">
        <v>0.25999239</v>
      </c>
      <c r="D32" s="4">
        <v>0.259991446</v>
      </c>
      <c r="E32" s="4">
        <v>0.25997483</v>
      </c>
      <c r="F32" s="4">
        <v>0.25998234</v>
      </c>
      <c r="G32" s="4">
        <v>0.259972949</v>
      </c>
      <c r="H32" s="1">
        <f>G32+H21*B8*H5</f>
        <v>0.2599586114</v>
      </c>
      <c r="I32" s="1">
        <f>H32-0.000000987</f>
        <v>0.2599576244</v>
      </c>
      <c r="J32" s="1">
        <f t="shared" ref="J32:AS32" si="26">I32-0.000000891</f>
        <v>0.2599567334</v>
      </c>
      <c r="K32" s="1">
        <f t="shared" si="26"/>
        <v>0.2599558424</v>
      </c>
      <c r="L32" s="1">
        <f t="shared" si="26"/>
        <v>0.2599549514</v>
      </c>
      <c r="M32" s="1">
        <f t="shared" si="26"/>
        <v>0.2599540604</v>
      </c>
      <c r="N32" s="1">
        <f t="shared" si="26"/>
        <v>0.2599531694</v>
      </c>
      <c r="O32" s="1">
        <f t="shared" si="26"/>
        <v>0.2599522784</v>
      </c>
      <c r="P32" s="1">
        <f t="shared" si="26"/>
        <v>0.2599513874</v>
      </c>
      <c r="Q32" s="1">
        <f t="shared" si="26"/>
        <v>0.2599504964</v>
      </c>
      <c r="R32" s="1">
        <f t="shared" si="26"/>
        <v>0.2599496054</v>
      </c>
      <c r="S32" s="1">
        <f t="shared" si="26"/>
        <v>0.2599487144</v>
      </c>
      <c r="T32" s="1">
        <f t="shared" si="26"/>
        <v>0.2599478234</v>
      </c>
      <c r="U32" s="1">
        <f t="shared" si="26"/>
        <v>0.2599469324</v>
      </c>
      <c r="V32" s="1">
        <f t="shared" si="26"/>
        <v>0.2599460414</v>
      </c>
      <c r="W32" s="1">
        <f t="shared" si="26"/>
        <v>0.2599451504</v>
      </c>
      <c r="X32" s="1">
        <f t="shared" si="26"/>
        <v>0.2599442594</v>
      </c>
      <c r="Y32" s="1">
        <f t="shared" si="26"/>
        <v>0.2599433684</v>
      </c>
      <c r="Z32" s="1">
        <f t="shared" si="26"/>
        <v>0.2599424774</v>
      </c>
      <c r="AA32" s="1">
        <f t="shared" si="26"/>
        <v>0.2599415864</v>
      </c>
      <c r="AB32" s="1">
        <f t="shared" si="26"/>
        <v>0.2599406954</v>
      </c>
      <c r="AC32" s="1">
        <f t="shared" si="26"/>
        <v>0.2599398044</v>
      </c>
      <c r="AD32" s="1">
        <f t="shared" si="26"/>
        <v>0.2599389134</v>
      </c>
      <c r="AE32" s="1">
        <f t="shared" si="26"/>
        <v>0.2599380224</v>
      </c>
      <c r="AF32" s="1">
        <f t="shared" si="26"/>
        <v>0.2599371314</v>
      </c>
      <c r="AG32" s="1">
        <f t="shared" si="26"/>
        <v>0.2599362404</v>
      </c>
      <c r="AH32" s="1">
        <f t="shared" si="26"/>
        <v>0.2599353494</v>
      </c>
      <c r="AI32" s="1">
        <f t="shared" si="26"/>
        <v>0.2599344584</v>
      </c>
      <c r="AJ32" s="1">
        <f t="shared" si="26"/>
        <v>0.2599335674</v>
      </c>
      <c r="AK32" s="1">
        <f t="shared" si="26"/>
        <v>0.2599326764</v>
      </c>
      <c r="AL32" s="1">
        <f t="shared" si="26"/>
        <v>0.2599317854</v>
      </c>
      <c r="AM32" s="1">
        <f t="shared" si="26"/>
        <v>0.2599308944</v>
      </c>
      <c r="AN32" s="1">
        <f t="shared" si="26"/>
        <v>0.2599300034</v>
      </c>
      <c r="AO32" s="1">
        <f t="shared" si="26"/>
        <v>0.2599291124</v>
      </c>
      <c r="AP32" s="1">
        <f t="shared" si="26"/>
        <v>0.2599282214</v>
      </c>
      <c r="AQ32" s="1">
        <f t="shared" si="26"/>
        <v>0.2599273304</v>
      </c>
      <c r="AR32" s="1">
        <f t="shared" si="26"/>
        <v>0.2599264394</v>
      </c>
      <c r="AS32" s="1">
        <f t="shared" si="26"/>
        <v>0.2599255484</v>
      </c>
      <c r="AT32" s="3">
        <v>0.25999295</v>
      </c>
      <c r="AU32" s="3">
        <v>0.25998295</v>
      </c>
      <c r="AV32" s="3">
        <v>0.25998125</v>
      </c>
      <c r="AW32" s="3">
        <v>0.25997995</v>
      </c>
      <c r="AX32" s="3">
        <v>0.25997698</v>
      </c>
      <c r="AY32" s="3">
        <v>0.25997376</v>
      </c>
      <c r="AZ32" s="3">
        <v>0.25997295</v>
      </c>
    </row>
    <row r="33">
      <c r="A33" s="3" t="s">
        <v>81</v>
      </c>
      <c r="B33" s="4">
        <v>0.07</v>
      </c>
      <c r="C33" s="4">
        <v>0.06990815</v>
      </c>
      <c r="D33" s="4">
        <v>0.069899216</v>
      </c>
      <c r="E33" s="4">
        <v>0.0698178</v>
      </c>
      <c r="F33" s="4">
        <v>0.0698229</v>
      </c>
      <c r="G33" s="4">
        <v>0.069759298</v>
      </c>
      <c r="H33" s="1">
        <f>G33+H20*B8*H6</f>
        <v>0.06973820936</v>
      </c>
      <c r="I33" s="1">
        <f t="shared" ref="I33:I34" si="28">H33-0.000000876</f>
        <v>0.06973733336</v>
      </c>
      <c r="J33" s="1">
        <f t="shared" ref="J33:AT33" si="27">I33-0.0000000981</f>
        <v>0.06973723526</v>
      </c>
      <c r="K33" s="1">
        <f t="shared" si="27"/>
        <v>0.06973713716</v>
      </c>
      <c r="L33" s="1">
        <f t="shared" si="27"/>
        <v>0.06973703906</v>
      </c>
      <c r="M33" s="1">
        <f t="shared" si="27"/>
        <v>0.06973694096</v>
      </c>
      <c r="N33" s="1">
        <f t="shared" si="27"/>
        <v>0.06973684286</v>
      </c>
      <c r="O33" s="1">
        <f t="shared" si="27"/>
        <v>0.06973674476</v>
      </c>
      <c r="P33" s="1">
        <f t="shared" si="27"/>
        <v>0.06973664666</v>
      </c>
      <c r="Q33" s="1">
        <f t="shared" si="27"/>
        <v>0.06973654856</v>
      </c>
      <c r="R33" s="1">
        <f t="shared" si="27"/>
        <v>0.06973645046</v>
      </c>
      <c r="S33" s="1">
        <f t="shared" si="27"/>
        <v>0.06973635236</v>
      </c>
      <c r="T33" s="1">
        <f t="shared" si="27"/>
        <v>0.06973625426</v>
      </c>
      <c r="U33" s="1">
        <f t="shared" si="27"/>
        <v>0.06973615616</v>
      </c>
      <c r="V33" s="1">
        <f t="shared" si="27"/>
        <v>0.06973605806</v>
      </c>
      <c r="W33" s="1">
        <f t="shared" si="27"/>
        <v>0.06973595996</v>
      </c>
      <c r="X33" s="1">
        <f t="shared" si="27"/>
        <v>0.06973586186</v>
      </c>
      <c r="Y33" s="1">
        <f t="shared" si="27"/>
        <v>0.06973576376</v>
      </c>
      <c r="Z33" s="1">
        <f t="shared" si="27"/>
        <v>0.06973566566</v>
      </c>
      <c r="AA33" s="1">
        <f t="shared" si="27"/>
        <v>0.06973556756</v>
      </c>
      <c r="AB33" s="1">
        <f t="shared" si="27"/>
        <v>0.06973546946</v>
      </c>
      <c r="AC33" s="1">
        <f t="shared" si="27"/>
        <v>0.06973537136</v>
      </c>
      <c r="AD33" s="1">
        <f t="shared" si="27"/>
        <v>0.06973527326</v>
      </c>
      <c r="AE33" s="1">
        <f t="shared" si="27"/>
        <v>0.06973517516</v>
      </c>
      <c r="AF33" s="1">
        <f t="shared" si="27"/>
        <v>0.06973507706</v>
      </c>
      <c r="AG33" s="1">
        <f t="shared" si="27"/>
        <v>0.06973497896</v>
      </c>
      <c r="AH33" s="1">
        <f t="shared" si="27"/>
        <v>0.06973488086</v>
      </c>
      <c r="AI33" s="1">
        <f t="shared" si="27"/>
        <v>0.06973478276</v>
      </c>
      <c r="AJ33" s="1">
        <f t="shared" si="27"/>
        <v>0.06973468466</v>
      </c>
      <c r="AK33" s="1">
        <f t="shared" si="27"/>
        <v>0.06973458656</v>
      </c>
      <c r="AL33" s="1">
        <f t="shared" si="27"/>
        <v>0.06973448846</v>
      </c>
      <c r="AM33" s="1">
        <f t="shared" si="27"/>
        <v>0.06973439036</v>
      </c>
      <c r="AN33" s="1">
        <f t="shared" si="27"/>
        <v>0.06973429226</v>
      </c>
      <c r="AO33" s="1">
        <f t="shared" si="27"/>
        <v>0.06973419416</v>
      </c>
      <c r="AP33" s="1">
        <f t="shared" si="27"/>
        <v>0.06973409606</v>
      </c>
      <c r="AQ33" s="1">
        <f t="shared" si="27"/>
        <v>0.06973399796</v>
      </c>
      <c r="AR33" s="1">
        <f t="shared" si="27"/>
        <v>0.06973389986</v>
      </c>
      <c r="AS33" s="1">
        <f t="shared" si="27"/>
        <v>0.06973380176</v>
      </c>
      <c r="AT33" s="1">
        <f t="shared" si="27"/>
        <v>0.06973370366</v>
      </c>
      <c r="AU33" s="3">
        <v>0.0699483</v>
      </c>
      <c r="AV33" s="3">
        <v>0.0699273</v>
      </c>
      <c r="AW33" s="3">
        <v>0.0698763</v>
      </c>
      <c r="AX33" s="3">
        <v>0.0698288</v>
      </c>
      <c r="AY33" s="3">
        <v>0.0697993</v>
      </c>
      <c r="AZ33" s="3">
        <v>0.0697593</v>
      </c>
    </row>
    <row r="34">
      <c r="A34" s="3" t="s">
        <v>82</v>
      </c>
      <c r="B34" s="4">
        <v>0.17</v>
      </c>
      <c r="C34" s="4">
        <v>0.1699087</v>
      </c>
      <c r="D34" s="4">
        <v>0.169899052</v>
      </c>
      <c r="E34" s="4">
        <v>0.1698243</v>
      </c>
      <c r="F34" s="4">
        <v>0.1698287</v>
      </c>
      <c r="G34" s="4">
        <v>0.169768364</v>
      </c>
      <c r="H34" s="1">
        <f>G34+H21*B8*H6</f>
        <v>0.1697396888</v>
      </c>
      <c r="I34" s="1">
        <f t="shared" si="28"/>
        <v>0.1697388128</v>
      </c>
      <c r="J34" s="1">
        <f>I34-0.000000764</f>
        <v>0.1697380488</v>
      </c>
      <c r="K34" s="1">
        <f t="shared" ref="K34:AZ34" si="29">J34-(F34-G34)</f>
        <v>0.1696777128</v>
      </c>
      <c r="L34" s="1">
        <f t="shared" si="29"/>
        <v>0.1696490376</v>
      </c>
      <c r="M34" s="1">
        <f t="shared" si="29"/>
        <v>0.1696481616</v>
      </c>
      <c r="N34" s="1">
        <f t="shared" si="29"/>
        <v>0.1696473976</v>
      </c>
      <c r="O34" s="1">
        <f t="shared" si="29"/>
        <v>0.1695870616</v>
      </c>
      <c r="P34" s="1">
        <f t="shared" si="29"/>
        <v>0.1695583864</v>
      </c>
      <c r="Q34" s="1">
        <f t="shared" si="29"/>
        <v>0.1695575104</v>
      </c>
      <c r="R34" s="1">
        <f t="shared" si="29"/>
        <v>0.1695567464</v>
      </c>
      <c r="S34" s="1">
        <f t="shared" si="29"/>
        <v>0.1694964104</v>
      </c>
      <c r="T34" s="1">
        <f t="shared" si="29"/>
        <v>0.1694677352</v>
      </c>
      <c r="U34" s="1">
        <f t="shared" si="29"/>
        <v>0.1694668592</v>
      </c>
      <c r="V34" s="1">
        <f t="shared" si="29"/>
        <v>0.1694660952</v>
      </c>
      <c r="W34" s="1">
        <f t="shared" si="29"/>
        <v>0.1694057592</v>
      </c>
      <c r="X34" s="1">
        <f t="shared" si="29"/>
        <v>0.169377084</v>
      </c>
      <c r="Y34" s="1">
        <f t="shared" si="29"/>
        <v>0.169376208</v>
      </c>
      <c r="Z34" s="1">
        <f t="shared" si="29"/>
        <v>0.169375444</v>
      </c>
      <c r="AA34" s="1">
        <f t="shared" si="29"/>
        <v>0.169315108</v>
      </c>
      <c r="AB34" s="1">
        <f t="shared" si="29"/>
        <v>0.1692864328</v>
      </c>
      <c r="AC34" s="1">
        <f t="shared" si="29"/>
        <v>0.1692855568</v>
      </c>
      <c r="AD34" s="1">
        <f t="shared" si="29"/>
        <v>0.1692847928</v>
      </c>
      <c r="AE34" s="1">
        <f t="shared" si="29"/>
        <v>0.1692244568</v>
      </c>
      <c r="AF34" s="1">
        <f t="shared" si="29"/>
        <v>0.1691957816</v>
      </c>
      <c r="AG34" s="1">
        <f t="shared" si="29"/>
        <v>0.1691949056</v>
      </c>
      <c r="AH34" s="1">
        <f t="shared" si="29"/>
        <v>0.1691941416</v>
      </c>
      <c r="AI34" s="1">
        <f t="shared" si="29"/>
        <v>0.1691338056</v>
      </c>
      <c r="AJ34" s="1">
        <f t="shared" si="29"/>
        <v>0.1691051304</v>
      </c>
      <c r="AK34" s="1">
        <f t="shared" si="29"/>
        <v>0.1691042544</v>
      </c>
      <c r="AL34" s="1">
        <f t="shared" si="29"/>
        <v>0.1691034904</v>
      </c>
      <c r="AM34" s="1">
        <f t="shared" si="29"/>
        <v>0.1690431544</v>
      </c>
      <c r="AN34" s="1">
        <f t="shared" si="29"/>
        <v>0.1690144792</v>
      </c>
      <c r="AO34" s="1">
        <f t="shared" si="29"/>
        <v>0.1690136032</v>
      </c>
      <c r="AP34" s="1">
        <f t="shared" si="29"/>
        <v>0.1690128392</v>
      </c>
      <c r="AQ34" s="1">
        <f t="shared" si="29"/>
        <v>0.1689525032</v>
      </c>
      <c r="AR34" s="1">
        <f t="shared" si="29"/>
        <v>0.168923828</v>
      </c>
      <c r="AS34" s="1">
        <f t="shared" si="29"/>
        <v>0.168922952</v>
      </c>
      <c r="AT34" s="1">
        <f t="shared" si="29"/>
        <v>0.168922188</v>
      </c>
      <c r="AU34" s="1">
        <f t="shared" si="29"/>
        <v>0.168861852</v>
      </c>
      <c r="AV34" s="1">
        <f t="shared" si="29"/>
        <v>0.1688331768</v>
      </c>
      <c r="AW34" s="1">
        <f t="shared" si="29"/>
        <v>0.1688323008</v>
      </c>
      <c r="AX34" s="1">
        <f t="shared" si="29"/>
        <v>0.1688315368</v>
      </c>
      <c r="AY34" s="1">
        <f t="shared" si="29"/>
        <v>0.1687712008</v>
      </c>
      <c r="AZ34" s="1">
        <f t="shared" si="29"/>
        <v>0.1687425256</v>
      </c>
    </row>
    <row r="35">
      <c r="A35" s="9" t="s">
        <v>83</v>
      </c>
      <c r="B35" s="4">
        <v>0.28</v>
      </c>
      <c r="C35" s="4">
        <v>0.27989065</v>
      </c>
      <c r="D35" s="4">
        <v>0.279873138</v>
      </c>
      <c r="E35" s="4">
        <v>0.27977262</v>
      </c>
      <c r="F35" s="4">
        <v>0.27978207</v>
      </c>
      <c r="G35" s="4">
        <v>0.279640732</v>
      </c>
      <c r="H35" s="1">
        <f>G35+H20*B8*H2</f>
        <v>0.279508928</v>
      </c>
      <c r="I35" s="1">
        <f>H35-0.00000874</f>
        <v>0.279500188</v>
      </c>
      <c r="J35" s="1">
        <f t="shared" ref="J35:AZ35" si="30">I35-(G35-H35)</f>
        <v>0.279368384</v>
      </c>
      <c r="K35" s="1">
        <f t="shared" si="30"/>
        <v>0.279359644</v>
      </c>
      <c r="L35" s="1">
        <f t="shared" si="30"/>
        <v>0.27922784</v>
      </c>
      <c r="M35" s="1">
        <f t="shared" si="30"/>
        <v>0.2792191</v>
      </c>
      <c r="N35" s="1">
        <f t="shared" si="30"/>
        <v>0.279087296</v>
      </c>
      <c r="O35" s="1">
        <f t="shared" si="30"/>
        <v>0.279078556</v>
      </c>
      <c r="P35" s="1">
        <f t="shared" si="30"/>
        <v>0.278946752</v>
      </c>
      <c r="Q35" s="1">
        <f t="shared" si="30"/>
        <v>0.278938012</v>
      </c>
      <c r="R35" s="1">
        <f t="shared" si="30"/>
        <v>0.278806208</v>
      </c>
      <c r="S35" s="1">
        <f t="shared" si="30"/>
        <v>0.278797468</v>
      </c>
      <c r="T35" s="1">
        <f t="shared" si="30"/>
        <v>0.278665664</v>
      </c>
      <c r="U35" s="1">
        <f t="shared" si="30"/>
        <v>0.278656924</v>
      </c>
      <c r="V35" s="1">
        <f t="shared" si="30"/>
        <v>0.27852512</v>
      </c>
      <c r="W35" s="1">
        <f t="shared" si="30"/>
        <v>0.27851638</v>
      </c>
      <c r="X35" s="1">
        <f t="shared" si="30"/>
        <v>0.278384576</v>
      </c>
      <c r="Y35" s="1">
        <f t="shared" si="30"/>
        <v>0.278375836</v>
      </c>
      <c r="Z35" s="1">
        <f t="shared" si="30"/>
        <v>0.278244032</v>
      </c>
      <c r="AA35" s="1">
        <f t="shared" si="30"/>
        <v>0.278235292</v>
      </c>
      <c r="AB35" s="1">
        <f t="shared" si="30"/>
        <v>0.278103488</v>
      </c>
      <c r="AC35" s="1">
        <f t="shared" si="30"/>
        <v>0.278094748</v>
      </c>
      <c r="AD35" s="1">
        <f t="shared" si="30"/>
        <v>0.277962944</v>
      </c>
      <c r="AE35" s="1">
        <f t="shared" si="30"/>
        <v>0.277954204</v>
      </c>
      <c r="AF35" s="1">
        <f t="shared" si="30"/>
        <v>0.2778224</v>
      </c>
      <c r="AG35" s="1">
        <f t="shared" si="30"/>
        <v>0.27781366</v>
      </c>
      <c r="AH35" s="1">
        <f t="shared" si="30"/>
        <v>0.277681856</v>
      </c>
      <c r="AI35" s="1">
        <f t="shared" si="30"/>
        <v>0.277673116</v>
      </c>
      <c r="AJ35" s="1">
        <f t="shared" si="30"/>
        <v>0.277541312</v>
      </c>
      <c r="AK35" s="1">
        <f t="shared" si="30"/>
        <v>0.277532572</v>
      </c>
      <c r="AL35" s="1">
        <f t="shared" si="30"/>
        <v>0.277400768</v>
      </c>
      <c r="AM35" s="1">
        <f t="shared" si="30"/>
        <v>0.277392028</v>
      </c>
      <c r="AN35" s="1">
        <f t="shared" si="30"/>
        <v>0.277260224</v>
      </c>
      <c r="AO35" s="1">
        <f t="shared" si="30"/>
        <v>0.277251484</v>
      </c>
      <c r="AP35" s="1">
        <f t="shared" si="30"/>
        <v>0.27711968</v>
      </c>
      <c r="AQ35" s="1">
        <f t="shared" si="30"/>
        <v>0.27711094</v>
      </c>
      <c r="AR35" s="1">
        <f t="shared" si="30"/>
        <v>0.276979136</v>
      </c>
      <c r="AS35" s="1">
        <f t="shared" si="30"/>
        <v>0.276970396</v>
      </c>
      <c r="AT35" s="1">
        <f t="shared" si="30"/>
        <v>0.276838592</v>
      </c>
      <c r="AU35" s="1">
        <f t="shared" si="30"/>
        <v>0.276829852</v>
      </c>
      <c r="AV35" s="1">
        <f t="shared" si="30"/>
        <v>0.276698048</v>
      </c>
      <c r="AW35" s="1">
        <f t="shared" si="30"/>
        <v>0.276689308</v>
      </c>
      <c r="AX35" s="1">
        <f t="shared" si="30"/>
        <v>0.276557504</v>
      </c>
      <c r="AY35" s="1">
        <f t="shared" si="30"/>
        <v>0.276548764</v>
      </c>
      <c r="AZ35" s="1">
        <f t="shared" si="30"/>
        <v>0.27641696</v>
      </c>
    </row>
    <row r="36">
      <c r="A36" s="3" t="s">
        <v>84</v>
      </c>
      <c r="B36" s="4">
        <v>0.8</v>
      </c>
      <c r="C36" s="4">
        <v>0.79996193</v>
      </c>
      <c r="D36" s="4">
        <v>0.799953384</v>
      </c>
      <c r="E36" s="4">
        <v>0.79991697</v>
      </c>
      <c r="F36" s="4">
        <v>0.79992172</v>
      </c>
      <c r="G36" s="4">
        <v>0.799873608</v>
      </c>
      <c r="H36" s="1">
        <f>G36+H22*B8*H11</f>
        <v>0.7998111379</v>
      </c>
      <c r="I36" s="1">
        <f>H36-0.000000987</f>
        <v>0.7998101509</v>
      </c>
      <c r="J36" s="1">
        <f>I36-0.000000876</f>
        <v>0.7998092749</v>
      </c>
      <c r="K36" s="1">
        <f t="shared" ref="K36:AZ36" si="31">J36-(H36-I36)</f>
        <v>0.7998082879</v>
      </c>
      <c r="L36" s="1">
        <f t="shared" si="31"/>
        <v>0.7998074119</v>
      </c>
      <c r="M36" s="1">
        <f t="shared" si="31"/>
        <v>0.7998064249</v>
      </c>
      <c r="N36" s="1">
        <f t="shared" si="31"/>
        <v>0.7998055489</v>
      </c>
      <c r="O36" s="1">
        <f t="shared" si="31"/>
        <v>0.7998045619</v>
      </c>
      <c r="P36" s="1">
        <f t="shared" si="31"/>
        <v>0.7998036859</v>
      </c>
      <c r="Q36" s="1">
        <f t="shared" si="31"/>
        <v>0.7998026989</v>
      </c>
      <c r="R36" s="1">
        <f t="shared" si="31"/>
        <v>0.7998018229</v>
      </c>
      <c r="S36" s="1">
        <f t="shared" si="31"/>
        <v>0.7998008359</v>
      </c>
      <c r="T36" s="1">
        <f t="shared" si="31"/>
        <v>0.7997999599</v>
      </c>
      <c r="U36" s="1">
        <f t="shared" si="31"/>
        <v>0.7997989729</v>
      </c>
      <c r="V36" s="1">
        <f t="shared" si="31"/>
        <v>0.7997980969</v>
      </c>
      <c r="W36" s="1">
        <f t="shared" si="31"/>
        <v>0.7997971099</v>
      </c>
      <c r="X36" s="1">
        <f t="shared" si="31"/>
        <v>0.7997962339</v>
      </c>
      <c r="Y36" s="1">
        <f t="shared" si="31"/>
        <v>0.7997952469</v>
      </c>
      <c r="Z36" s="1">
        <f t="shared" si="31"/>
        <v>0.7997943709</v>
      </c>
      <c r="AA36" s="1">
        <f t="shared" si="31"/>
        <v>0.7997933839</v>
      </c>
      <c r="AB36" s="1">
        <f t="shared" si="31"/>
        <v>0.7997925079</v>
      </c>
      <c r="AC36" s="1">
        <f t="shared" si="31"/>
        <v>0.7997915209</v>
      </c>
      <c r="AD36" s="1">
        <f t="shared" si="31"/>
        <v>0.7997906449</v>
      </c>
      <c r="AE36" s="1">
        <f t="shared" si="31"/>
        <v>0.7997896579</v>
      </c>
      <c r="AF36" s="1">
        <f t="shared" si="31"/>
        <v>0.7997887819</v>
      </c>
      <c r="AG36" s="1">
        <f t="shared" si="31"/>
        <v>0.7997877949</v>
      </c>
      <c r="AH36" s="1">
        <f t="shared" si="31"/>
        <v>0.7997869189</v>
      </c>
      <c r="AI36" s="1">
        <f t="shared" si="31"/>
        <v>0.7997859319</v>
      </c>
      <c r="AJ36" s="1">
        <f t="shared" si="31"/>
        <v>0.7997850559</v>
      </c>
      <c r="AK36" s="1">
        <f t="shared" si="31"/>
        <v>0.7997840689</v>
      </c>
      <c r="AL36" s="1">
        <f t="shared" si="31"/>
        <v>0.7997831929</v>
      </c>
      <c r="AM36" s="1">
        <f t="shared" si="31"/>
        <v>0.7997822059</v>
      </c>
      <c r="AN36" s="1">
        <f t="shared" si="31"/>
        <v>0.7997813299</v>
      </c>
      <c r="AO36" s="1">
        <f t="shared" si="31"/>
        <v>0.7997803429</v>
      </c>
      <c r="AP36" s="1">
        <f t="shared" si="31"/>
        <v>0.7997794669</v>
      </c>
      <c r="AQ36" s="1">
        <f t="shared" si="31"/>
        <v>0.7997784799</v>
      </c>
      <c r="AR36" s="1">
        <f t="shared" si="31"/>
        <v>0.7997776039</v>
      </c>
      <c r="AS36" s="1">
        <f t="shared" si="31"/>
        <v>0.7997766169</v>
      </c>
      <c r="AT36" s="1">
        <f t="shared" si="31"/>
        <v>0.7997757409</v>
      </c>
      <c r="AU36" s="1">
        <f t="shared" si="31"/>
        <v>0.7997747539</v>
      </c>
      <c r="AV36" s="1">
        <f t="shared" si="31"/>
        <v>0.7997738779</v>
      </c>
      <c r="AW36" s="1">
        <f t="shared" si="31"/>
        <v>0.7997728909</v>
      </c>
      <c r="AX36" s="1">
        <f t="shared" si="31"/>
        <v>0.7997720149</v>
      </c>
      <c r="AY36" s="1">
        <f t="shared" si="31"/>
        <v>0.7997710279</v>
      </c>
      <c r="AZ36" s="1">
        <f t="shared" si="31"/>
        <v>0.7997701519</v>
      </c>
    </row>
    <row r="37">
      <c r="A37" s="3" t="s">
        <v>85</v>
      </c>
      <c r="B37" s="4">
        <v>0.86</v>
      </c>
      <c r="C37" s="4">
        <v>0.85943916</v>
      </c>
      <c r="D37" s="4">
        <v>0.859429772</v>
      </c>
      <c r="E37" s="4">
        <v>0.8593895</v>
      </c>
      <c r="F37" s="4">
        <v>0.85939469</v>
      </c>
      <c r="G37" s="4">
        <v>0.859341214</v>
      </c>
      <c r="H37" s="1">
        <f>G37+H23*B8*H11</f>
        <v>0.8592712483</v>
      </c>
      <c r="I37" s="1">
        <f>H37-0.000000891</f>
        <v>0.8592703573</v>
      </c>
      <c r="J37" s="1">
        <f>I37-0.0000000984</f>
        <v>0.8592702589</v>
      </c>
      <c r="K37" s="1">
        <f t="shared" ref="K37:AZ37" si="32">J37-(H37-I37)</f>
        <v>0.8592693679</v>
      </c>
      <c r="L37" s="1">
        <f t="shared" si="32"/>
        <v>0.8592692695</v>
      </c>
      <c r="M37" s="1">
        <f t="shared" si="32"/>
        <v>0.8592683785</v>
      </c>
      <c r="N37" s="1">
        <f t="shared" si="32"/>
        <v>0.8592682801</v>
      </c>
      <c r="O37" s="1">
        <f t="shared" si="32"/>
        <v>0.8592673891</v>
      </c>
      <c r="P37" s="1">
        <f t="shared" si="32"/>
        <v>0.8592672907</v>
      </c>
      <c r="Q37" s="1">
        <f t="shared" si="32"/>
        <v>0.8592663997</v>
      </c>
      <c r="R37" s="1">
        <f t="shared" si="32"/>
        <v>0.8592663013</v>
      </c>
      <c r="S37" s="1">
        <f t="shared" si="32"/>
        <v>0.8592654103</v>
      </c>
      <c r="T37" s="1">
        <f t="shared" si="32"/>
        <v>0.8592653119</v>
      </c>
      <c r="U37" s="1">
        <f t="shared" si="32"/>
        <v>0.8592644209</v>
      </c>
      <c r="V37" s="1">
        <f t="shared" si="32"/>
        <v>0.8592643225</v>
      </c>
      <c r="W37" s="1">
        <f t="shared" si="32"/>
        <v>0.8592634315</v>
      </c>
      <c r="X37" s="1">
        <f t="shared" si="32"/>
        <v>0.8592633331</v>
      </c>
      <c r="Y37" s="1">
        <f t="shared" si="32"/>
        <v>0.8592624421</v>
      </c>
      <c r="Z37" s="1">
        <f t="shared" si="32"/>
        <v>0.8592623437</v>
      </c>
      <c r="AA37" s="1">
        <f t="shared" si="32"/>
        <v>0.8592614527</v>
      </c>
      <c r="AB37" s="1">
        <f t="shared" si="32"/>
        <v>0.8592613543</v>
      </c>
      <c r="AC37" s="1">
        <f t="shared" si="32"/>
        <v>0.8592604633</v>
      </c>
      <c r="AD37" s="1">
        <f t="shared" si="32"/>
        <v>0.8592603649</v>
      </c>
      <c r="AE37" s="1">
        <f t="shared" si="32"/>
        <v>0.8592594739</v>
      </c>
      <c r="AF37" s="1">
        <f t="shared" si="32"/>
        <v>0.8592593755</v>
      </c>
      <c r="AG37" s="1">
        <f t="shared" si="32"/>
        <v>0.8592584845</v>
      </c>
      <c r="AH37" s="1">
        <f t="shared" si="32"/>
        <v>0.8592583861</v>
      </c>
      <c r="AI37" s="1">
        <f t="shared" si="32"/>
        <v>0.8592574951</v>
      </c>
      <c r="AJ37" s="1">
        <f t="shared" si="32"/>
        <v>0.8592573967</v>
      </c>
      <c r="AK37" s="1">
        <f t="shared" si="32"/>
        <v>0.8592565057</v>
      </c>
      <c r="AL37" s="1">
        <f t="shared" si="32"/>
        <v>0.8592564073</v>
      </c>
      <c r="AM37" s="1">
        <f t="shared" si="32"/>
        <v>0.8592555163</v>
      </c>
      <c r="AN37" s="1">
        <f t="shared" si="32"/>
        <v>0.8592554179</v>
      </c>
      <c r="AO37" s="1">
        <f t="shared" si="32"/>
        <v>0.8592545269</v>
      </c>
      <c r="AP37" s="1">
        <f t="shared" si="32"/>
        <v>0.8592544285</v>
      </c>
      <c r="AQ37" s="1">
        <f t="shared" si="32"/>
        <v>0.8592535375</v>
      </c>
      <c r="AR37" s="1">
        <f t="shared" si="32"/>
        <v>0.8592534391</v>
      </c>
      <c r="AS37" s="1">
        <f t="shared" si="32"/>
        <v>0.8592525481</v>
      </c>
      <c r="AT37" s="1">
        <f t="shared" si="32"/>
        <v>0.8592524497</v>
      </c>
      <c r="AU37" s="1">
        <f t="shared" si="32"/>
        <v>0.8592515587</v>
      </c>
      <c r="AV37" s="1">
        <f t="shared" si="32"/>
        <v>0.8592514603</v>
      </c>
      <c r="AW37" s="1">
        <f t="shared" si="32"/>
        <v>0.8592505693</v>
      </c>
      <c r="AX37" s="1">
        <f t="shared" si="32"/>
        <v>0.8592504709</v>
      </c>
      <c r="AY37" s="1">
        <f t="shared" si="32"/>
        <v>0.8592495799</v>
      </c>
      <c r="AZ37" s="1">
        <f t="shared" si="32"/>
        <v>0.8592494815</v>
      </c>
    </row>
    <row r="38">
      <c r="A38" s="9" t="s">
        <v>86</v>
      </c>
      <c r="B38" s="4">
        <v>0.66</v>
      </c>
      <c r="C38" s="4">
        <v>0.65989131</v>
      </c>
      <c r="D38" s="4">
        <v>0.659872389</v>
      </c>
      <c r="E38" s="4">
        <v>0.6597801</v>
      </c>
      <c r="F38" s="4">
        <v>0.65978826</v>
      </c>
      <c r="G38" s="4">
        <v>0.65965417</v>
      </c>
      <c r="H38" s="4">
        <v>0.65947495</v>
      </c>
      <c r="I38" s="1">
        <f>H38-0.000000871</f>
        <v>0.659474079</v>
      </c>
      <c r="J38" s="1">
        <f>I38-0.0000000871</f>
        <v>0.6594739919</v>
      </c>
      <c r="K38" s="1">
        <f t="shared" ref="K38:AZ38" si="33">I38-(G38-H38)</f>
        <v>0.659294859</v>
      </c>
      <c r="L38" s="1">
        <f t="shared" si="33"/>
        <v>0.6594731209</v>
      </c>
      <c r="M38" s="1">
        <f t="shared" si="33"/>
        <v>0.6592947719</v>
      </c>
      <c r="N38" s="1">
        <f t="shared" si="33"/>
        <v>0.659293988</v>
      </c>
      <c r="O38" s="1">
        <f t="shared" si="33"/>
        <v>0.6594730338</v>
      </c>
      <c r="P38" s="1">
        <f t="shared" si="33"/>
        <v>0.659115639</v>
      </c>
      <c r="Q38" s="1">
        <f t="shared" si="33"/>
        <v>0.6594722499</v>
      </c>
      <c r="R38" s="1">
        <f t="shared" si="33"/>
        <v>0.6592946848</v>
      </c>
      <c r="S38" s="1">
        <f t="shared" si="33"/>
        <v>0.6591148551</v>
      </c>
      <c r="T38" s="1">
        <f t="shared" si="33"/>
        <v>0.6596512957</v>
      </c>
      <c r="U38" s="1">
        <f t="shared" si="33"/>
        <v>0.65893729</v>
      </c>
      <c r="V38" s="1">
        <f t="shared" si="33"/>
        <v>0.659471466</v>
      </c>
      <c r="W38" s="1">
        <f t="shared" si="33"/>
        <v>0.6594737306</v>
      </c>
      <c r="X38" s="1">
        <f t="shared" si="33"/>
        <v>0.6587574603</v>
      </c>
      <c r="Y38" s="1">
        <f t="shared" si="33"/>
        <v>0.6600079066</v>
      </c>
      <c r="Z38" s="1">
        <f t="shared" si="33"/>
        <v>0.6587597249</v>
      </c>
      <c r="AA38" s="1">
        <f t="shared" si="33"/>
        <v>0.6592916363</v>
      </c>
      <c r="AB38" s="1">
        <f t="shared" si="33"/>
        <v>0.6600101712</v>
      </c>
      <c r="AC38" s="1">
        <f t="shared" si="33"/>
        <v>0.6580434546</v>
      </c>
      <c r="AD38" s="1">
        <f t="shared" si="33"/>
        <v>0.6605420826</v>
      </c>
      <c r="AE38" s="1">
        <f t="shared" si="33"/>
        <v>0.6587619895</v>
      </c>
      <c r="AF38" s="1">
        <f t="shared" si="33"/>
        <v>0.658575366</v>
      </c>
      <c r="AG38" s="1">
        <f t="shared" si="33"/>
        <v>0.6612606175</v>
      </c>
      <c r="AH38" s="1">
        <f t="shared" si="33"/>
        <v>0.6567952729</v>
      </c>
      <c r="AI38" s="1">
        <f t="shared" si="33"/>
        <v>0.661073994</v>
      </c>
      <c r="AJ38" s="1">
        <f t="shared" si="33"/>
        <v>0.6594805244</v>
      </c>
      <c r="AK38" s="1">
        <f t="shared" si="33"/>
        <v>0.6566086494</v>
      </c>
      <c r="AL38" s="1">
        <f t="shared" si="33"/>
        <v>0.6637592455</v>
      </c>
      <c r="AM38" s="1">
        <f t="shared" si="33"/>
        <v>0.6550151798</v>
      </c>
      <c r="AN38" s="1">
        <f t="shared" si="33"/>
        <v>0.6608873705</v>
      </c>
      <c r="AO38" s="1">
        <f t="shared" si="33"/>
        <v>0.6621657759</v>
      </c>
      <c r="AP38" s="1">
        <f t="shared" si="33"/>
        <v>0.6521433048</v>
      </c>
      <c r="AQ38" s="1">
        <f t="shared" si="33"/>
        <v>0.6680379666</v>
      </c>
      <c r="AR38" s="1">
        <f t="shared" si="33"/>
        <v>0.6534217102</v>
      </c>
      <c r="AS38" s="1">
        <f t="shared" si="33"/>
        <v>0.6580154955</v>
      </c>
      <c r="AT38" s="1">
        <f t="shared" si="33"/>
        <v>0.669316372</v>
      </c>
      <c r="AU38" s="1">
        <f t="shared" si="33"/>
        <v>0.6433992391</v>
      </c>
      <c r="AV38" s="1">
        <f t="shared" si="33"/>
        <v>0.6739101573</v>
      </c>
      <c r="AW38" s="1">
        <f t="shared" si="33"/>
        <v>0.6547001156</v>
      </c>
      <c r="AX38" s="1">
        <f t="shared" si="33"/>
        <v>0.6479930244</v>
      </c>
      <c r="AY38" s="1">
        <f t="shared" si="33"/>
        <v>0.6852110338</v>
      </c>
      <c r="AZ38" s="1">
        <f t="shared" si="33"/>
        <v>0.6287829827</v>
      </c>
    </row>
    <row r="39">
      <c r="A39" s="3" t="s">
        <v>87</v>
      </c>
      <c r="B39" s="4">
        <v>0.59</v>
      </c>
      <c r="C39" s="4">
        <v>0.58995875</v>
      </c>
      <c r="D39" s="4">
        <v>0.589950163</v>
      </c>
      <c r="E39" s="4">
        <v>0.58990954</v>
      </c>
      <c r="F39" s="4">
        <v>0.58991448</v>
      </c>
      <c r="G39" s="4">
        <v>0.589914977</v>
      </c>
      <c r="H39" s="4">
        <v>0.58986169</v>
      </c>
      <c r="I39" s="1">
        <f>H39-0.0000867</f>
        <v>0.58977499</v>
      </c>
      <c r="J39" s="1">
        <f>I39-0.00000843</f>
        <v>0.58976656</v>
      </c>
      <c r="K39" s="1">
        <f t="shared" ref="K39:AZ39" si="34">J39-(H39-I39)</f>
        <v>0.58967986</v>
      </c>
      <c r="L39" s="1">
        <f t="shared" si="34"/>
        <v>0.58967143</v>
      </c>
      <c r="M39" s="1">
        <f t="shared" si="34"/>
        <v>0.58958473</v>
      </c>
      <c r="N39" s="1">
        <f t="shared" si="34"/>
        <v>0.5895763</v>
      </c>
      <c r="O39" s="1">
        <f t="shared" si="34"/>
        <v>0.5894896</v>
      </c>
      <c r="P39" s="1">
        <f t="shared" si="34"/>
        <v>0.58948117</v>
      </c>
      <c r="Q39" s="1">
        <f t="shared" si="34"/>
        <v>0.58939447</v>
      </c>
      <c r="R39" s="1">
        <f t="shared" si="34"/>
        <v>0.58938604</v>
      </c>
      <c r="S39" s="1">
        <f t="shared" si="34"/>
        <v>0.58929934</v>
      </c>
      <c r="T39" s="1">
        <f t="shared" si="34"/>
        <v>0.58929091</v>
      </c>
      <c r="U39" s="1">
        <f t="shared" si="34"/>
        <v>0.58920421</v>
      </c>
      <c r="V39" s="1">
        <f t="shared" si="34"/>
        <v>0.58919578</v>
      </c>
      <c r="W39" s="1">
        <f t="shared" si="34"/>
        <v>0.58910908</v>
      </c>
      <c r="X39" s="1">
        <f t="shared" si="34"/>
        <v>0.58910065</v>
      </c>
      <c r="Y39" s="1">
        <f t="shared" si="34"/>
        <v>0.58901395</v>
      </c>
      <c r="Z39" s="1">
        <f t="shared" si="34"/>
        <v>0.58900552</v>
      </c>
      <c r="AA39" s="1">
        <f t="shared" si="34"/>
        <v>0.58891882</v>
      </c>
      <c r="AB39" s="1">
        <f t="shared" si="34"/>
        <v>0.58891039</v>
      </c>
      <c r="AC39" s="1">
        <f t="shared" si="34"/>
        <v>0.58882369</v>
      </c>
      <c r="AD39" s="1">
        <f t="shared" si="34"/>
        <v>0.58881526</v>
      </c>
      <c r="AE39" s="1">
        <f t="shared" si="34"/>
        <v>0.58872856</v>
      </c>
      <c r="AF39" s="1">
        <f t="shared" si="34"/>
        <v>0.58872013</v>
      </c>
      <c r="AG39" s="1">
        <f t="shared" si="34"/>
        <v>0.58863343</v>
      </c>
      <c r="AH39" s="1">
        <f t="shared" si="34"/>
        <v>0.588625</v>
      </c>
      <c r="AI39" s="1">
        <f t="shared" si="34"/>
        <v>0.5885383</v>
      </c>
      <c r="AJ39" s="1">
        <f t="shared" si="34"/>
        <v>0.58852987</v>
      </c>
      <c r="AK39" s="1">
        <f t="shared" si="34"/>
        <v>0.58844317</v>
      </c>
      <c r="AL39" s="1">
        <f t="shared" si="34"/>
        <v>0.58843474</v>
      </c>
      <c r="AM39" s="1">
        <f t="shared" si="34"/>
        <v>0.58834804</v>
      </c>
      <c r="AN39" s="1">
        <f t="shared" si="34"/>
        <v>0.58833961</v>
      </c>
      <c r="AO39" s="1">
        <f t="shared" si="34"/>
        <v>0.58825291</v>
      </c>
      <c r="AP39" s="1">
        <f t="shared" si="34"/>
        <v>0.58824448</v>
      </c>
      <c r="AQ39" s="1">
        <f t="shared" si="34"/>
        <v>0.58815778</v>
      </c>
      <c r="AR39" s="1">
        <f t="shared" si="34"/>
        <v>0.58814935</v>
      </c>
      <c r="AS39" s="1">
        <f t="shared" si="34"/>
        <v>0.58806265</v>
      </c>
      <c r="AT39" s="1">
        <f t="shared" si="34"/>
        <v>0.58805422</v>
      </c>
      <c r="AU39" s="1">
        <f t="shared" si="34"/>
        <v>0.58796752</v>
      </c>
      <c r="AV39" s="1">
        <f t="shared" si="34"/>
        <v>0.58795909</v>
      </c>
      <c r="AW39" s="1">
        <f t="shared" si="34"/>
        <v>0.58787239</v>
      </c>
      <c r="AX39" s="1">
        <f t="shared" si="34"/>
        <v>0.58786396</v>
      </c>
      <c r="AY39" s="1">
        <f t="shared" si="34"/>
        <v>0.58777726</v>
      </c>
      <c r="AZ39" s="1">
        <f t="shared" si="34"/>
        <v>0.58776883</v>
      </c>
    </row>
    <row r="40">
      <c r="A40" s="3" t="s">
        <v>88</v>
      </c>
      <c r="B40" s="4">
        <v>0.78</v>
      </c>
      <c r="C40" s="4">
        <v>0.77995402</v>
      </c>
      <c r="D40" s="4">
        <v>0.779944584</v>
      </c>
      <c r="E40" s="4">
        <v>0.77989966</v>
      </c>
      <c r="F40" s="4">
        <v>0.77990506</v>
      </c>
      <c r="G40" s="4">
        <v>0.779845125</v>
      </c>
      <c r="H40" s="4">
        <v>0.77978545</v>
      </c>
      <c r="I40" s="1">
        <f>H40-0.00000789</f>
        <v>0.77977756</v>
      </c>
      <c r="J40" s="1">
        <f>I40-0.00000764</f>
        <v>0.77976992</v>
      </c>
      <c r="K40" s="1">
        <f t="shared" ref="K40:AZ40" si="35">J40-(H40-I40)</f>
        <v>0.77976203</v>
      </c>
      <c r="L40" s="1">
        <f t="shared" si="35"/>
        <v>0.77975439</v>
      </c>
      <c r="M40" s="1">
        <f t="shared" si="35"/>
        <v>0.7797465</v>
      </c>
      <c r="N40" s="1">
        <f t="shared" si="35"/>
        <v>0.77973886</v>
      </c>
      <c r="O40" s="1">
        <f t="shared" si="35"/>
        <v>0.77973097</v>
      </c>
      <c r="P40" s="1">
        <f t="shared" si="35"/>
        <v>0.77972333</v>
      </c>
      <c r="Q40" s="1">
        <f t="shared" si="35"/>
        <v>0.77971544</v>
      </c>
      <c r="R40" s="1">
        <f t="shared" si="35"/>
        <v>0.7797078</v>
      </c>
      <c r="S40" s="1">
        <f t="shared" si="35"/>
        <v>0.77969991</v>
      </c>
      <c r="T40" s="1">
        <f t="shared" si="35"/>
        <v>0.77969227</v>
      </c>
      <c r="U40" s="1">
        <f t="shared" si="35"/>
        <v>0.77968438</v>
      </c>
      <c r="V40" s="1">
        <f t="shared" si="35"/>
        <v>0.77967674</v>
      </c>
      <c r="W40" s="1">
        <f t="shared" si="35"/>
        <v>0.77966885</v>
      </c>
      <c r="X40" s="1">
        <f t="shared" si="35"/>
        <v>0.77966121</v>
      </c>
      <c r="Y40" s="1">
        <f t="shared" si="35"/>
        <v>0.77965332</v>
      </c>
      <c r="Z40" s="1">
        <f t="shared" si="35"/>
        <v>0.77964568</v>
      </c>
      <c r="AA40" s="1">
        <f t="shared" si="35"/>
        <v>0.77963779</v>
      </c>
      <c r="AB40" s="1">
        <f t="shared" si="35"/>
        <v>0.77963015</v>
      </c>
      <c r="AC40" s="1">
        <f t="shared" si="35"/>
        <v>0.77962226</v>
      </c>
      <c r="AD40" s="1">
        <f t="shared" si="35"/>
        <v>0.77961462</v>
      </c>
      <c r="AE40" s="1">
        <f t="shared" si="35"/>
        <v>0.77960673</v>
      </c>
      <c r="AF40" s="1">
        <f t="shared" si="35"/>
        <v>0.77959909</v>
      </c>
      <c r="AG40" s="1">
        <f t="shared" si="35"/>
        <v>0.7795912</v>
      </c>
      <c r="AH40" s="1">
        <f t="shared" si="35"/>
        <v>0.77958356</v>
      </c>
      <c r="AI40" s="1">
        <f t="shared" si="35"/>
        <v>0.77957567</v>
      </c>
      <c r="AJ40" s="1">
        <f t="shared" si="35"/>
        <v>0.77956803</v>
      </c>
      <c r="AK40" s="1">
        <f t="shared" si="35"/>
        <v>0.77956014</v>
      </c>
      <c r="AL40" s="1">
        <f t="shared" si="35"/>
        <v>0.7795525</v>
      </c>
      <c r="AM40" s="1">
        <f t="shared" si="35"/>
        <v>0.77954461</v>
      </c>
      <c r="AN40" s="1">
        <f t="shared" si="35"/>
        <v>0.77953697</v>
      </c>
      <c r="AO40" s="1">
        <f t="shared" si="35"/>
        <v>0.77952908</v>
      </c>
      <c r="AP40" s="1">
        <f t="shared" si="35"/>
        <v>0.77952144</v>
      </c>
      <c r="AQ40" s="1">
        <f t="shared" si="35"/>
        <v>0.77951355</v>
      </c>
      <c r="AR40" s="1">
        <f t="shared" si="35"/>
        <v>0.77950591</v>
      </c>
      <c r="AS40" s="1">
        <f t="shared" si="35"/>
        <v>0.77949802</v>
      </c>
      <c r="AT40" s="1">
        <f t="shared" si="35"/>
        <v>0.77949038</v>
      </c>
      <c r="AU40" s="1">
        <f t="shared" si="35"/>
        <v>0.77948249</v>
      </c>
      <c r="AV40" s="1">
        <f t="shared" si="35"/>
        <v>0.77947485</v>
      </c>
      <c r="AW40" s="1">
        <f t="shared" si="35"/>
        <v>0.77946696</v>
      </c>
      <c r="AX40" s="1">
        <f t="shared" si="35"/>
        <v>0.77945932</v>
      </c>
      <c r="AY40" s="1">
        <f t="shared" si="35"/>
        <v>0.77945143</v>
      </c>
      <c r="AZ40" s="1">
        <f t="shared" si="35"/>
        <v>0.77944379</v>
      </c>
    </row>
    <row r="41">
      <c r="A41" s="9" t="s">
        <v>89</v>
      </c>
      <c r="B41" s="4">
        <v>0.75</v>
      </c>
      <c r="C41" s="4">
        <v>0.74756291</v>
      </c>
      <c r="D41" s="4">
        <v>0.747551915</v>
      </c>
      <c r="E41" s="4">
        <v>0.74749854</v>
      </c>
      <c r="F41" s="4">
        <v>0.74750456</v>
      </c>
      <c r="G41" s="4">
        <v>0.747430875</v>
      </c>
      <c r="H41" s="4">
        <v>0.74734818</v>
      </c>
      <c r="I41" s="1">
        <f>H41-0.00000654</f>
        <v>0.74734164</v>
      </c>
      <c r="J41" s="1">
        <f>I41-0.00000892</f>
        <v>0.74733272</v>
      </c>
      <c r="K41" s="1">
        <f t="shared" ref="K41:AZ41" si="36">J41-(H41-I41)</f>
        <v>0.74732618</v>
      </c>
      <c r="L41" s="1">
        <f t="shared" si="36"/>
        <v>0.74731726</v>
      </c>
      <c r="M41" s="1">
        <f t="shared" si="36"/>
        <v>0.74731072</v>
      </c>
      <c r="N41" s="1">
        <f t="shared" si="36"/>
        <v>0.7473018</v>
      </c>
      <c r="O41" s="1">
        <f t="shared" si="36"/>
        <v>0.74729526</v>
      </c>
      <c r="P41" s="1">
        <f t="shared" si="36"/>
        <v>0.74728634</v>
      </c>
      <c r="Q41" s="1">
        <f t="shared" si="36"/>
        <v>0.7472798</v>
      </c>
      <c r="R41" s="1">
        <f t="shared" si="36"/>
        <v>0.74727088</v>
      </c>
      <c r="S41" s="1">
        <f t="shared" si="36"/>
        <v>0.74726434</v>
      </c>
      <c r="T41" s="1">
        <f t="shared" si="36"/>
        <v>0.74725542</v>
      </c>
      <c r="U41" s="1">
        <f t="shared" si="36"/>
        <v>0.74724888</v>
      </c>
      <c r="V41" s="1">
        <f t="shared" si="36"/>
        <v>0.74723996</v>
      </c>
      <c r="W41" s="1">
        <f t="shared" si="36"/>
        <v>0.74723342</v>
      </c>
      <c r="X41" s="1">
        <f t="shared" si="36"/>
        <v>0.7472245</v>
      </c>
      <c r="Y41" s="1">
        <f t="shared" si="36"/>
        <v>0.74721796</v>
      </c>
      <c r="Z41" s="1">
        <f t="shared" si="36"/>
        <v>0.74720904</v>
      </c>
      <c r="AA41" s="1">
        <f t="shared" si="36"/>
        <v>0.7472025</v>
      </c>
      <c r="AB41" s="1">
        <f t="shared" si="36"/>
        <v>0.74719358</v>
      </c>
      <c r="AC41" s="1">
        <f t="shared" si="36"/>
        <v>0.74718704</v>
      </c>
      <c r="AD41" s="1">
        <f t="shared" si="36"/>
        <v>0.74717812</v>
      </c>
      <c r="AE41" s="1">
        <f t="shared" si="36"/>
        <v>0.74717158</v>
      </c>
      <c r="AF41" s="1">
        <f t="shared" si="36"/>
        <v>0.74716266</v>
      </c>
      <c r="AG41" s="1">
        <f t="shared" si="36"/>
        <v>0.74715612</v>
      </c>
      <c r="AH41" s="1">
        <f t="shared" si="36"/>
        <v>0.7471472</v>
      </c>
      <c r="AI41" s="1">
        <f t="shared" si="36"/>
        <v>0.74714066</v>
      </c>
      <c r="AJ41" s="1">
        <f t="shared" si="36"/>
        <v>0.74713174</v>
      </c>
      <c r="AK41" s="1">
        <f t="shared" si="36"/>
        <v>0.7471252</v>
      </c>
      <c r="AL41" s="1">
        <f t="shared" si="36"/>
        <v>0.74711628</v>
      </c>
      <c r="AM41" s="1">
        <f t="shared" si="36"/>
        <v>0.74710974</v>
      </c>
      <c r="AN41" s="1">
        <f t="shared" si="36"/>
        <v>0.74710082</v>
      </c>
      <c r="AO41" s="1">
        <f t="shared" si="36"/>
        <v>0.74709428</v>
      </c>
      <c r="AP41" s="1">
        <f t="shared" si="36"/>
        <v>0.74708536</v>
      </c>
      <c r="AQ41" s="1">
        <f t="shared" si="36"/>
        <v>0.74707882</v>
      </c>
      <c r="AR41" s="1">
        <f t="shared" si="36"/>
        <v>0.7470699</v>
      </c>
      <c r="AS41" s="1">
        <f t="shared" si="36"/>
        <v>0.74706336</v>
      </c>
      <c r="AT41" s="1">
        <f t="shared" si="36"/>
        <v>0.74705444</v>
      </c>
      <c r="AU41" s="1">
        <f t="shared" si="36"/>
        <v>0.7470479</v>
      </c>
      <c r="AV41" s="1">
        <f t="shared" si="36"/>
        <v>0.74703898</v>
      </c>
      <c r="AW41" s="1">
        <f t="shared" si="36"/>
        <v>0.74703244</v>
      </c>
      <c r="AX41" s="1">
        <f t="shared" si="36"/>
        <v>0.74702352</v>
      </c>
      <c r="AY41" s="1">
        <f t="shared" si="36"/>
        <v>0.74701698</v>
      </c>
      <c r="AZ41" s="1">
        <f t="shared" si="36"/>
        <v>0.74700806</v>
      </c>
    </row>
    <row r="42">
      <c r="A42" s="3" t="s">
        <v>90</v>
      </c>
      <c r="B42" s="4">
        <v>0.52</v>
      </c>
      <c r="C42" s="4">
        <v>0.51928199</v>
      </c>
      <c r="D42" s="4">
        <v>0.519128841</v>
      </c>
      <c r="E42" s="4">
        <v>0.51843889</v>
      </c>
      <c r="F42" s="4">
        <v>0.51852532</v>
      </c>
      <c r="G42" s="4">
        <v>0.517604156</v>
      </c>
      <c r="H42" s="4">
        <v>0.51654161</v>
      </c>
      <c r="I42" s="1">
        <f>H42-0.00000983</f>
        <v>0.51653178</v>
      </c>
      <c r="J42" s="1">
        <f>I42-0.00000932</f>
        <v>0.51652246</v>
      </c>
      <c r="K42" s="1">
        <f t="shared" ref="K42:AZ42" si="37">J42-(H42-I42)</f>
        <v>0.51651263</v>
      </c>
      <c r="L42" s="1">
        <f t="shared" si="37"/>
        <v>0.51650331</v>
      </c>
      <c r="M42" s="1">
        <f t="shared" si="37"/>
        <v>0.51649348</v>
      </c>
      <c r="N42" s="1">
        <f t="shared" si="37"/>
        <v>0.51648416</v>
      </c>
      <c r="O42" s="1">
        <f t="shared" si="37"/>
        <v>0.51647433</v>
      </c>
      <c r="P42" s="1">
        <f t="shared" si="37"/>
        <v>0.51646501</v>
      </c>
      <c r="Q42" s="1">
        <f t="shared" si="37"/>
        <v>0.51645518</v>
      </c>
      <c r="R42" s="1">
        <f t="shared" si="37"/>
        <v>0.51644586</v>
      </c>
      <c r="S42" s="1">
        <f t="shared" si="37"/>
        <v>0.51643603</v>
      </c>
      <c r="T42" s="1">
        <f t="shared" si="37"/>
        <v>0.51642671</v>
      </c>
      <c r="U42" s="1">
        <f t="shared" si="37"/>
        <v>0.51641688</v>
      </c>
      <c r="V42" s="1">
        <f t="shared" si="37"/>
        <v>0.51640756</v>
      </c>
      <c r="W42" s="1">
        <f t="shared" si="37"/>
        <v>0.51639773</v>
      </c>
      <c r="X42" s="1">
        <f t="shared" si="37"/>
        <v>0.51638841</v>
      </c>
      <c r="Y42" s="1">
        <f t="shared" si="37"/>
        <v>0.51637858</v>
      </c>
      <c r="Z42" s="1">
        <f t="shared" si="37"/>
        <v>0.51636926</v>
      </c>
      <c r="AA42" s="1">
        <f t="shared" si="37"/>
        <v>0.51635943</v>
      </c>
      <c r="AB42" s="1">
        <f t="shared" si="37"/>
        <v>0.51635011</v>
      </c>
      <c r="AC42" s="1">
        <f t="shared" si="37"/>
        <v>0.51634028</v>
      </c>
      <c r="AD42" s="1">
        <f t="shared" si="37"/>
        <v>0.51633096</v>
      </c>
      <c r="AE42" s="1">
        <f t="shared" si="37"/>
        <v>0.51632113</v>
      </c>
      <c r="AF42" s="1">
        <f t="shared" si="37"/>
        <v>0.51631181</v>
      </c>
      <c r="AG42" s="1">
        <f t="shared" si="37"/>
        <v>0.51630198</v>
      </c>
      <c r="AH42" s="1">
        <f t="shared" si="37"/>
        <v>0.51629266</v>
      </c>
      <c r="AI42" s="1">
        <f t="shared" si="37"/>
        <v>0.51628283</v>
      </c>
      <c r="AJ42" s="1">
        <f t="shared" si="37"/>
        <v>0.51627351</v>
      </c>
      <c r="AK42" s="1">
        <f t="shared" si="37"/>
        <v>0.51626368</v>
      </c>
      <c r="AL42" s="1">
        <f t="shared" si="37"/>
        <v>0.51625436</v>
      </c>
      <c r="AM42" s="1">
        <f t="shared" si="37"/>
        <v>0.51624453</v>
      </c>
      <c r="AN42" s="1">
        <f t="shared" si="37"/>
        <v>0.51623521</v>
      </c>
      <c r="AO42" s="1">
        <f t="shared" si="37"/>
        <v>0.51622538</v>
      </c>
      <c r="AP42" s="1">
        <f t="shared" si="37"/>
        <v>0.51621606</v>
      </c>
      <c r="AQ42" s="1">
        <f t="shared" si="37"/>
        <v>0.51620623</v>
      </c>
      <c r="AR42" s="1">
        <f t="shared" si="37"/>
        <v>0.51619691</v>
      </c>
      <c r="AS42" s="1">
        <f t="shared" si="37"/>
        <v>0.51618708</v>
      </c>
      <c r="AT42" s="1">
        <f t="shared" si="37"/>
        <v>0.51617776</v>
      </c>
      <c r="AU42" s="1">
        <f t="shared" si="37"/>
        <v>0.51616793</v>
      </c>
      <c r="AV42" s="1">
        <f t="shared" si="37"/>
        <v>0.51615861</v>
      </c>
      <c r="AW42" s="1">
        <f t="shared" si="37"/>
        <v>0.51614878</v>
      </c>
      <c r="AX42" s="1">
        <f t="shared" si="37"/>
        <v>0.51613946</v>
      </c>
      <c r="AY42" s="1">
        <f t="shared" si="37"/>
        <v>0.51612963</v>
      </c>
      <c r="AZ42" s="1">
        <f t="shared" si="37"/>
        <v>0.51612031</v>
      </c>
    </row>
    <row r="43">
      <c r="A43" s="9" t="s">
        <v>91</v>
      </c>
      <c r="B43" s="4">
        <v>0.55</v>
      </c>
      <c r="C43" s="4">
        <v>0.54993575</v>
      </c>
      <c r="D43" s="4">
        <v>0.549923667</v>
      </c>
      <c r="E43" s="4">
        <v>0.54986463</v>
      </c>
      <c r="F43" s="4">
        <v>0.54987122</v>
      </c>
      <c r="G43" s="4">
        <v>0.549789315</v>
      </c>
      <c r="H43" s="4">
        <v>0.5496967</v>
      </c>
      <c r="I43" s="3">
        <v>0.5495961</v>
      </c>
      <c r="J43" s="1">
        <f>I43-0.0000783</f>
        <v>0.5495178</v>
      </c>
      <c r="K43" s="1">
        <f t="shared" ref="K43:AZ43" si="38">J43-(H43-I43)</f>
        <v>0.5494172</v>
      </c>
      <c r="L43" s="1">
        <f t="shared" si="38"/>
        <v>0.5493389</v>
      </c>
      <c r="M43" s="1">
        <f t="shared" si="38"/>
        <v>0.5492383</v>
      </c>
      <c r="N43" s="1">
        <f t="shared" si="38"/>
        <v>0.54916</v>
      </c>
      <c r="O43" s="1">
        <f t="shared" si="38"/>
        <v>0.5490594</v>
      </c>
      <c r="P43" s="1">
        <f t="shared" si="38"/>
        <v>0.5489811</v>
      </c>
      <c r="Q43" s="1">
        <f t="shared" si="38"/>
        <v>0.5488805</v>
      </c>
      <c r="R43" s="1">
        <f t="shared" si="38"/>
        <v>0.5488022</v>
      </c>
      <c r="S43" s="1">
        <f t="shared" si="38"/>
        <v>0.5487016</v>
      </c>
      <c r="T43" s="1">
        <f t="shared" si="38"/>
        <v>0.5486233</v>
      </c>
      <c r="U43" s="1">
        <f t="shared" si="38"/>
        <v>0.5485227</v>
      </c>
      <c r="V43" s="1">
        <f t="shared" si="38"/>
        <v>0.5484444</v>
      </c>
      <c r="W43" s="1">
        <f t="shared" si="38"/>
        <v>0.5483438</v>
      </c>
      <c r="X43" s="1">
        <f t="shared" si="38"/>
        <v>0.5482655</v>
      </c>
      <c r="Y43" s="1">
        <f t="shared" si="38"/>
        <v>0.5481649</v>
      </c>
      <c r="Z43" s="1">
        <f t="shared" si="38"/>
        <v>0.5480866</v>
      </c>
      <c r="AA43" s="1">
        <f t="shared" si="38"/>
        <v>0.547986</v>
      </c>
      <c r="AB43" s="1">
        <f t="shared" si="38"/>
        <v>0.5479077</v>
      </c>
      <c r="AC43" s="1">
        <f t="shared" si="38"/>
        <v>0.5478071</v>
      </c>
      <c r="AD43" s="1">
        <f t="shared" si="38"/>
        <v>0.5477288</v>
      </c>
      <c r="AE43" s="1">
        <f t="shared" si="38"/>
        <v>0.5476282</v>
      </c>
      <c r="AF43" s="1">
        <f t="shared" si="38"/>
        <v>0.5475499</v>
      </c>
      <c r="AG43" s="1">
        <f t="shared" si="38"/>
        <v>0.5474493</v>
      </c>
      <c r="AH43" s="1">
        <f t="shared" si="38"/>
        <v>0.547371</v>
      </c>
      <c r="AI43" s="1">
        <f t="shared" si="38"/>
        <v>0.5472704</v>
      </c>
      <c r="AJ43" s="1">
        <f t="shared" si="38"/>
        <v>0.5471921</v>
      </c>
      <c r="AK43" s="1">
        <f t="shared" si="38"/>
        <v>0.5470915</v>
      </c>
      <c r="AL43" s="1">
        <f t="shared" si="38"/>
        <v>0.5470132</v>
      </c>
      <c r="AM43" s="1">
        <f t="shared" si="38"/>
        <v>0.5469126</v>
      </c>
      <c r="AN43" s="1">
        <f t="shared" si="38"/>
        <v>0.5468343</v>
      </c>
      <c r="AO43" s="1">
        <f t="shared" si="38"/>
        <v>0.5467337</v>
      </c>
      <c r="AP43" s="1">
        <f t="shared" si="38"/>
        <v>0.5466554</v>
      </c>
      <c r="AQ43" s="1">
        <f t="shared" si="38"/>
        <v>0.5465548</v>
      </c>
      <c r="AR43" s="1">
        <f t="shared" si="38"/>
        <v>0.5464765</v>
      </c>
      <c r="AS43" s="1">
        <f t="shared" si="38"/>
        <v>0.5463759</v>
      </c>
      <c r="AT43" s="1">
        <f t="shared" si="38"/>
        <v>0.5462976</v>
      </c>
      <c r="AU43" s="1">
        <f t="shared" si="38"/>
        <v>0.546197</v>
      </c>
      <c r="AV43" s="1">
        <f t="shared" si="38"/>
        <v>0.5461187</v>
      </c>
      <c r="AW43" s="1">
        <f t="shared" si="38"/>
        <v>0.5460181</v>
      </c>
      <c r="AX43" s="1">
        <f t="shared" si="38"/>
        <v>0.5459398</v>
      </c>
      <c r="AY43" s="1">
        <f t="shared" si="38"/>
        <v>0.5458392</v>
      </c>
      <c r="AZ43" s="1">
        <f t="shared" si="38"/>
        <v>0.5457609</v>
      </c>
    </row>
    <row r="44">
      <c r="A44" s="3" t="s">
        <v>92</v>
      </c>
      <c r="B44" s="4">
        <v>0.57</v>
      </c>
      <c r="C44" s="4">
        <v>0.56928472</v>
      </c>
      <c r="D44" s="4">
        <v>0.569131633</v>
      </c>
      <c r="E44" s="4">
        <v>0.56844297</v>
      </c>
      <c r="F44" s="4">
        <v>0.56852946</v>
      </c>
      <c r="G44" s="4">
        <v>0.567611123</v>
      </c>
      <c r="H44" s="4">
        <v>0.56655347</v>
      </c>
      <c r="I44" s="1">
        <f>H44-0.00000987</f>
        <v>0.5665436</v>
      </c>
      <c r="J44" s="1">
        <f>I44-0.0000789</f>
        <v>0.5664647</v>
      </c>
      <c r="K44" s="1">
        <f t="shared" ref="K44:AZ44" si="39">J44-(H44-I44)</f>
        <v>0.56645483</v>
      </c>
      <c r="L44" s="1">
        <f t="shared" si="39"/>
        <v>0.56637593</v>
      </c>
      <c r="M44" s="1">
        <f t="shared" si="39"/>
        <v>0.56636606</v>
      </c>
      <c r="N44" s="1">
        <f t="shared" si="39"/>
        <v>0.56628716</v>
      </c>
      <c r="O44" s="1">
        <f t="shared" si="39"/>
        <v>0.56627729</v>
      </c>
      <c r="P44" s="1">
        <f t="shared" si="39"/>
        <v>0.56619839</v>
      </c>
      <c r="Q44" s="1">
        <f t="shared" si="39"/>
        <v>0.56618852</v>
      </c>
      <c r="R44" s="1">
        <f t="shared" si="39"/>
        <v>0.56610962</v>
      </c>
      <c r="S44" s="1">
        <f t="shared" si="39"/>
        <v>0.56609975</v>
      </c>
      <c r="T44" s="1">
        <f t="shared" si="39"/>
        <v>0.56602085</v>
      </c>
      <c r="U44" s="1">
        <f t="shared" si="39"/>
        <v>0.56601098</v>
      </c>
      <c r="V44" s="1">
        <f t="shared" si="39"/>
        <v>0.56593208</v>
      </c>
      <c r="W44" s="1">
        <f t="shared" si="39"/>
        <v>0.56592221</v>
      </c>
      <c r="X44" s="1">
        <f t="shared" si="39"/>
        <v>0.56584331</v>
      </c>
      <c r="Y44" s="1">
        <f t="shared" si="39"/>
        <v>0.56583344</v>
      </c>
      <c r="Z44" s="1">
        <f t="shared" si="39"/>
        <v>0.56575454</v>
      </c>
      <c r="AA44" s="1">
        <f t="shared" si="39"/>
        <v>0.56574467</v>
      </c>
      <c r="AB44" s="1">
        <f t="shared" si="39"/>
        <v>0.56566577</v>
      </c>
      <c r="AC44" s="1">
        <f t="shared" si="39"/>
        <v>0.5656559</v>
      </c>
      <c r="AD44" s="1">
        <f t="shared" si="39"/>
        <v>0.565577</v>
      </c>
      <c r="AE44" s="1">
        <f t="shared" si="39"/>
        <v>0.56556713</v>
      </c>
      <c r="AF44" s="1">
        <f t="shared" si="39"/>
        <v>0.56548823</v>
      </c>
      <c r="AG44" s="1">
        <f t="shared" si="39"/>
        <v>0.56547836</v>
      </c>
      <c r="AH44" s="1">
        <f t="shared" si="39"/>
        <v>0.56539946</v>
      </c>
      <c r="AI44" s="1">
        <f t="shared" si="39"/>
        <v>0.56538959</v>
      </c>
      <c r="AJ44" s="1">
        <f t="shared" si="39"/>
        <v>0.56531069</v>
      </c>
      <c r="AK44" s="1">
        <f t="shared" si="39"/>
        <v>0.56530082</v>
      </c>
      <c r="AL44" s="1">
        <f t="shared" si="39"/>
        <v>0.56522192</v>
      </c>
      <c r="AM44" s="1">
        <f t="shared" si="39"/>
        <v>0.56521205</v>
      </c>
      <c r="AN44" s="1">
        <f t="shared" si="39"/>
        <v>0.56513315</v>
      </c>
      <c r="AO44" s="1">
        <f t="shared" si="39"/>
        <v>0.56512328</v>
      </c>
      <c r="AP44" s="1">
        <f t="shared" si="39"/>
        <v>0.56504438</v>
      </c>
      <c r="AQ44" s="1">
        <f t="shared" si="39"/>
        <v>0.56503451</v>
      </c>
      <c r="AR44" s="1">
        <f t="shared" si="39"/>
        <v>0.56495561</v>
      </c>
      <c r="AS44" s="1">
        <f t="shared" si="39"/>
        <v>0.56494574</v>
      </c>
      <c r="AT44" s="1">
        <f t="shared" si="39"/>
        <v>0.56486684</v>
      </c>
      <c r="AU44" s="1">
        <f t="shared" si="39"/>
        <v>0.56485697</v>
      </c>
      <c r="AV44" s="1">
        <f t="shared" si="39"/>
        <v>0.56477807</v>
      </c>
      <c r="AW44" s="1">
        <f t="shared" si="39"/>
        <v>0.5647682</v>
      </c>
      <c r="AX44" s="1">
        <f t="shared" si="39"/>
        <v>0.5646893</v>
      </c>
      <c r="AY44" s="1">
        <f t="shared" si="39"/>
        <v>0.56467943</v>
      </c>
      <c r="AZ44" s="1">
        <f t="shared" si="39"/>
        <v>0.56460053</v>
      </c>
    </row>
    <row r="45">
      <c r="A45" s="9" t="s">
        <v>93</v>
      </c>
      <c r="B45" s="4">
        <v>0.03</v>
      </c>
      <c r="C45" s="4">
        <v>0.02915091</v>
      </c>
      <c r="D45" s="4">
        <v>0.028973186</v>
      </c>
      <c r="E45" s="4">
        <v>0.02816241</v>
      </c>
      <c r="F45" s="4">
        <v>0.02826226</v>
      </c>
      <c r="G45" s="4">
        <v>0.027173067</v>
      </c>
      <c r="H45" s="4">
        <v>0.02592248</v>
      </c>
      <c r="I45" s="1">
        <f t="shared" ref="I45:J45" si="40">H45-0.00000789</f>
        <v>0.02591459</v>
      </c>
      <c r="J45" s="1">
        <f t="shared" si="40"/>
        <v>0.0259067</v>
      </c>
      <c r="K45" s="1">
        <f t="shared" ref="K45:AZ45" si="41">J45-(H45-I45)</f>
        <v>0.02589881</v>
      </c>
      <c r="L45" s="1">
        <f t="shared" si="41"/>
        <v>0.02589092</v>
      </c>
      <c r="M45" s="1">
        <f t="shared" si="41"/>
        <v>0.02588303</v>
      </c>
      <c r="N45" s="1">
        <f t="shared" si="41"/>
        <v>0.02587514</v>
      </c>
      <c r="O45" s="1">
        <f t="shared" si="41"/>
        <v>0.02586725</v>
      </c>
      <c r="P45" s="1">
        <f t="shared" si="41"/>
        <v>0.02585936</v>
      </c>
      <c r="Q45" s="1">
        <f t="shared" si="41"/>
        <v>0.02585147</v>
      </c>
      <c r="R45" s="1">
        <f t="shared" si="41"/>
        <v>0.02584358</v>
      </c>
      <c r="S45" s="1">
        <f t="shared" si="41"/>
        <v>0.02583569</v>
      </c>
      <c r="T45" s="1">
        <f t="shared" si="41"/>
        <v>0.0258278</v>
      </c>
      <c r="U45" s="1">
        <f t="shared" si="41"/>
        <v>0.02581991</v>
      </c>
      <c r="V45" s="1">
        <f t="shared" si="41"/>
        <v>0.02581202</v>
      </c>
      <c r="W45" s="1">
        <f t="shared" si="41"/>
        <v>0.02580413</v>
      </c>
      <c r="X45" s="1">
        <f t="shared" si="41"/>
        <v>0.02579624</v>
      </c>
      <c r="Y45" s="1">
        <f t="shared" si="41"/>
        <v>0.02578835</v>
      </c>
      <c r="Z45" s="1">
        <f t="shared" si="41"/>
        <v>0.02578046</v>
      </c>
      <c r="AA45" s="1">
        <f t="shared" si="41"/>
        <v>0.02577257</v>
      </c>
      <c r="AB45" s="1">
        <f t="shared" si="41"/>
        <v>0.02576468</v>
      </c>
      <c r="AC45" s="1">
        <f t="shared" si="41"/>
        <v>0.02575679</v>
      </c>
      <c r="AD45" s="1">
        <f t="shared" si="41"/>
        <v>0.0257489</v>
      </c>
      <c r="AE45" s="1">
        <f t="shared" si="41"/>
        <v>0.02574101</v>
      </c>
      <c r="AF45" s="1">
        <f t="shared" si="41"/>
        <v>0.02573312</v>
      </c>
      <c r="AG45" s="1">
        <f t="shared" si="41"/>
        <v>0.02572523</v>
      </c>
      <c r="AH45" s="1">
        <f t="shared" si="41"/>
        <v>0.02571734</v>
      </c>
      <c r="AI45" s="1">
        <f t="shared" si="41"/>
        <v>0.02570945</v>
      </c>
      <c r="AJ45" s="1">
        <f t="shared" si="41"/>
        <v>0.02570156</v>
      </c>
      <c r="AK45" s="1">
        <f t="shared" si="41"/>
        <v>0.02569367</v>
      </c>
      <c r="AL45" s="1">
        <f t="shared" si="41"/>
        <v>0.02568578</v>
      </c>
      <c r="AM45" s="1">
        <f t="shared" si="41"/>
        <v>0.02567789</v>
      </c>
      <c r="AN45" s="1">
        <f t="shared" si="41"/>
        <v>0.02567</v>
      </c>
      <c r="AO45" s="1">
        <f t="shared" si="41"/>
        <v>0.02566211</v>
      </c>
      <c r="AP45" s="1">
        <f t="shared" si="41"/>
        <v>0.02565422</v>
      </c>
      <c r="AQ45" s="1">
        <f t="shared" si="41"/>
        <v>0.02564633</v>
      </c>
      <c r="AR45" s="1">
        <f t="shared" si="41"/>
        <v>0.02563844</v>
      </c>
      <c r="AS45" s="1">
        <f t="shared" si="41"/>
        <v>0.02563055</v>
      </c>
      <c r="AT45" s="1">
        <f t="shared" si="41"/>
        <v>0.02562266</v>
      </c>
      <c r="AU45" s="1">
        <f t="shared" si="41"/>
        <v>0.02561477</v>
      </c>
      <c r="AV45" s="1">
        <f t="shared" si="41"/>
        <v>0.02560688</v>
      </c>
      <c r="AW45" s="1">
        <f t="shared" si="41"/>
        <v>0.02559899</v>
      </c>
      <c r="AX45" s="1">
        <f t="shared" si="41"/>
        <v>0.0255911</v>
      </c>
      <c r="AY45" s="1">
        <f t="shared" si="41"/>
        <v>0.02558321</v>
      </c>
      <c r="AZ45" s="1">
        <f t="shared" si="41"/>
        <v>0.02557532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>
      <c r="A47" s="1"/>
      <c r="B47" s="1"/>
      <c r="C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>
      <c r="A48" s="1"/>
      <c r="B48" s="1"/>
      <c r="C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>
      <c r="A49" s="1"/>
      <c r="B49" s="1"/>
      <c r="C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>
      <c r="A50" s="1"/>
      <c r="B50" s="1"/>
      <c r="C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>
      <c r="A51" s="1"/>
      <c r="B51" s="1"/>
      <c r="C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>
      <c r="A52" s="1"/>
      <c r="B52" s="1"/>
      <c r="C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>
      <c r="A53" s="1"/>
      <c r="B53" s="1"/>
      <c r="C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>
      <c r="A54" s="1"/>
      <c r="B54" s="1"/>
      <c r="C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>
      <c r="A55" s="1"/>
      <c r="B55" s="1"/>
      <c r="C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>
      <c r="A56" s="1"/>
      <c r="B56" s="1"/>
      <c r="C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>
      <c r="A57" s="1"/>
      <c r="B57" s="1"/>
      <c r="C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>
      <c r="A58" s="1"/>
      <c r="B58" s="1"/>
      <c r="C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>
      <c r="A59" s="1"/>
      <c r="B59" s="1"/>
      <c r="C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>
      <c r="A60" s="1"/>
      <c r="B60" s="1"/>
      <c r="C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>
      <c r="A61" s="1"/>
      <c r="B61" s="1"/>
      <c r="C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>
      <c r="A62" s="1"/>
      <c r="B62" s="1"/>
      <c r="C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>
      <c r="A63" s="1"/>
      <c r="B63" s="1"/>
      <c r="C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>
      <c r="A64" s="1"/>
      <c r="B64" s="1"/>
      <c r="C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>
      <c r="A65" s="1"/>
      <c r="B65" s="1"/>
      <c r="C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>
      <c r="A66" s="1"/>
      <c r="B66" s="1"/>
      <c r="C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>
      <c r="A67" s="1"/>
      <c r="B67" s="1"/>
      <c r="C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>
      <c r="A68" s="1"/>
      <c r="B68" s="1"/>
      <c r="C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>
      <c r="A69" s="1"/>
      <c r="B69" s="1"/>
      <c r="C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</sheetData>
  <mergeCells count="1">
    <mergeCell ref="D47:J6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